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14" documentId="8_{061B4A87-58AA-4D30-B4D5-56E15867F96D}" xr6:coauthVersionLast="47" xr6:coauthVersionMax="47" xr10:uidLastSave="{46922194-7178-498C-A3D6-12D3A3CC44E3}"/>
  <bookViews>
    <workbookView xWindow="-108" yWindow="-108" windowWidth="23256" windowHeight="12456" xr2:uid="{00000000-000D-0000-FFFF-FFFF00000000}"/>
  </bookViews>
  <sheets>
    <sheet name="ProjectSchedule" sheetId="11" r:id="rId1"/>
    <sheet name="About" sheetId="12" r:id="rId2"/>
  </sheets>
  <definedNames>
    <definedName name="Display_Week">ProjectSchedule!$D$4</definedName>
    <definedName name="_xlnm.Print_Titles" localSheetId="0">ProjectSchedule!$4:$6</definedName>
    <definedName name="Project_Start">ProjectSchedule!$D$3</definedName>
    <definedName name="task_end" localSheetId="0">ProjectSchedule!$E1</definedName>
    <definedName name="task_progress" localSheetId="0">ProjectSchedule!$C1</definedName>
    <definedName name="task_start" localSheetId="0">ProjectSchedule!$D1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11" l="1"/>
  <c r="E13" i="11"/>
  <c r="D14" i="11" s="1"/>
  <c r="E12" i="11"/>
  <c r="E9" i="11"/>
  <c r="E10" i="11"/>
  <c r="D17" i="11"/>
  <c r="E17" i="11" s="1"/>
  <c r="D18" i="11" s="1"/>
  <c r="E18" i="11" s="1"/>
  <c r="D8" i="11"/>
  <c r="E8" i="11" s="1"/>
  <c r="G23" i="11"/>
  <c r="G7" i="11"/>
  <c r="E19" i="11" l="1"/>
  <c r="D19" i="11"/>
  <c r="G8" i="11"/>
  <c r="H5" i="11"/>
  <c r="G26" i="11"/>
  <c r="G25" i="11"/>
  <c r="D21" i="11" l="1"/>
  <c r="D20" i="11"/>
  <c r="G24" i="11"/>
  <c r="G9" i="11"/>
  <c r="H6" i="11"/>
  <c r="G10" i="11" l="1"/>
  <c r="D11" i="11"/>
  <c r="E11" i="11" s="1"/>
  <c r="I5" i="11"/>
  <c r="J5" i="11" s="1"/>
  <c r="K5" i="11" s="1"/>
  <c r="L5" i="11" s="1"/>
  <c r="M5" i="11" s="1"/>
  <c r="N5" i="11" s="1"/>
  <c r="O5" i="11" s="1"/>
  <c r="H4" i="11"/>
  <c r="G11" i="11" l="1"/>
  <c r="G12" i="11"/>
  <c r="O4" i="11"/>
  <c r="P5" i="11"/>
  <c r="Q5" i="11" s="1"/>
  <c r="R5" i="11" s="1"/>
  <c r="S5" i="11" s="1"/>
  <c r="T5" i="11" s="1"/>
  <c r="U5" i="11" s="1"/>
  <c r="V5" i="11" s="1"/>
  <c r="I6" i="11"/>
  <c r="V4" i="11" l="1"/>
  <c r="W5" i="11"/>
  <c r="X5" i="11" s="1"/>
  <c r="Y5" i="11" s="1"/>
  <c r="Z5" i="11" s="1"/>
  <c r="AA5" i="11" s="1"/>
  <c r="AB5" i="11" s="1"/>
  <c r="AC5" i="11" s="1"/>
  <c r="J6" i="11"/>
  <c r="G13" i="11" l="1"/>
  <c r="E14" i="11"/>
  <c r="D15" i="11" s="1"/>
  <c r="E15" i="11" s="1"/>
  <c r="AD5" i="11"/>
  <c r="AE5" i="11" s="1"/>
  <c r="AF5" i="11" s="1"/>
  <c r="AG5" i="11" s="1"/>
  <c r="AH5" i="11" s="1"/>
  <c r="AI5" i="11" s="1"/>
  <c r="AC4" i="11"/>
  <c r="K6" i="11"/>
  <c r="G14" i="11" l="1"/>
  <c r="AJ5" i="11"/>
  <c r="AK5" i="11" s="1"/>
  <c r="AL5" i="11" s="1"/>
  <c r="AM5" i="11" s="1"/>
  <c r="AN5" i="11" s="1"/>
  <c r="AO5" i="11" s="1"/>
  <c r="AP5" i="11" s="1"/>
  <c r="L6" i="11"/>
  <c r="G15" i="11" l="1"/>
  <c r="AQ5" i="11"/>
  <c r="AR5" i="11" s="1"/>
  <c r="AJ4" i="11"/>
  <c r="M6" i="11"/>
  <c r="G20" i="11" l="1"/>
  <c r="AS5" i="11"/>
  <c r="AR6" i="11"/>
  <c r="AQ4" i="11"/>
  <c r="N6" i="11"/>
  <c r="AT5" i="11" l="1"/>
  <c r="AS6" i="11"/>
  <c r="G21" i="11" l="1"/>
  <c r="AU5" i="11"/>
  <c r="AT6" i="11"/>
  <c r="O6" i="11"/>
  <c r="P6" i="11"/>
  <c r="G22" i="11" l="1"/>
  <c r="AV5" i="11"/>
  <c r="AU6" i="11"/>
  <c r="Q6" i="11"/>
  <c r="AW5" i="11" l="1"/>
  <c r="AX5" i="11" s="1"/>
  <c r="AX4" i="11" s="1"/>
  <c r="AV6" i="11"/>
  <c r="R6" i="11"/>
  <c r="AX6" i="11" l="1"/>
  <c r="AY5" i="11"/>
  <c r="AW6" i="11"/>
  <c r="S6" i="11"/>
  <c r="AZ5" i="11" l="1"/>
  <c r="AY6" i="11"/>
  <c r="T6" i="11"/>
  <c r="AZ6" i="11" l="1"/>
  <c r="BA5" i="11"/>
  <c r="U6" i="11"/>
  <c r="BA6" i="11" l="1"/>
  <c r="BB5" i="11"/>
  <c r="V6" i="11"/>
  <c r="BB6" i="11" l="1"/>
  <c r="BC5" i="11"/>
  <c r="W6" i="11"/>
  <c r="BD5" i="11" l="1"/>
  <c r="BC6" i="11"/>
  <c r="X6" i="11"/>
  <c r="BD6" i="11" l="1"/>
  <c r="BE5" i="11"/>
  <c r="BE4" i="11" s="1"/>
  <c r="Y6" i="11"/>
  <c r="BE6" i="11" l="1"/>
  <c r="BF5" i="11"/>
  <c r="Z6" i="11"/>
  <c r="BF6" i="11" l="1"/>
  <c r="BG5" i="11"/>
  <c r="AA6" i="11"/>
  <c r="BH5" i="11" l="1"/>
  <c r="BG6" i="11"/>
  <c r="AB6" i="11"/>
  <c r="BI5" i="11" l="1"/>
  <c r="BH6" i="11"/>
  <c r="AC6" i="11"/>
  <c r="BJ5" i="11" l="1"/>
  <c r="BI6" i="11"/>
  <c r="AD6" i="11"/>
  <c r="BK5" i="11" l="1"/>
  <c r="BL5" i="11" s="1"/>
  <c r="BJ6" i="11"/>
  <c r="AE6" i="11"/>
  <c r="BL4" i="11" l="1"/>
  <c r="BL6" i="11"/>
  <c r="BM5" i="11"/>
  <c r="BK6" i="11"/>
  <c r="AF6" i="11"/>
  <c r="BM6" i="11" l="1"/>
  <c r="BN5" i="11"/>
  <c r="AG6" i="11"/>
  <c r="BN6" i="11" l="1"/>
  <c r="BO5" i="11"/>
  <c r="AH6" i="11"/>
  <c r="BP5" i="11" l="1"/>
  <c r="BO6" i="11"/>
  <c r="AI6" i="11"/>
  <c r="BP6" i="11" l="1"/>
  <c r="BQ5" i="11"/>
  <c r="AJ6" i="11"/>
  <c r="BR5" i="11" l="1"/>
  <c r="BQ6" i="11"/>
  <c r="AK6" i="11"/>
  <c r="BS5" i="11" l="1"/>
  <c r="BR6" i="11"/>
  <c r="AL6" i="11"/>
  <c r="BS4" i="11" l="1"/>
  <c r="BT5" i="11"/>
  <c r="BS6" i="11"/>
  <c r="AM6" i="11"/>
  <c r="BT6" i="11" l="1"/>
  <c r="BU5" i="11"/>
  <c r="AN6" i="11"/>
  <c r="BU6" i="11" l="1"/>
  <c r="BV5" i="11"/>
  <c r="AO6" i="11"/>
  <c r="BV6" i="11" l="1"/>
  <c r="BW5" i="11"/>
  <c r="AP6" i="11"/>
  <c r="BW6" i="11" l="1"/>
  <c r="BX5" i="11"/>
  <c r="AQ6" i="11"/>
  <c r="BY5" i="11" l="1"/>
  <c r="BX6" i="11"/>
  <c r="BZ5" i="11" l="1"/>
  <c r="BY6" i="11"/>
  <c r="CA5" i="11" l="1"/>
  <c r="BZ6" i="11"/>
  <c r="BZ4" i="11"/>
  <c r="CB5" i="11" l="1"/>
  <c r="CA6" i="11"/>
  <c r="CC5" i="11" l="1"/>
  <c r="CB6" i="11"/>
  <c r="CD5" i="11" l="1"/>
  <c r="CC6" i="11"/>
  <c r="CE5" i="11" l="1"/>
  <c r="CD6" i="11"/>
  <c r="CF5" i="11" l="1"/>
  <c r="CE6" i="11"/>
  <c r="CF6" i="11" l="1"/>
  <c r="CG5" i="11"/>
  <c r="CG4" i="11" l="1"/>
  <c r="CG6" i="11"/>
  <c r="CH5" i="11"/>
  <c r="CI5" i="11" l="1"/>
  <c r="CH6" i="11"/>
  <c r="CJ5" i="11" l="1"/>
  <c r="CI6" i="11"/>
  <c r="CK5" i="11" l="1"/>
  <c r="CJ6" i="11"/>
  <c r="CK6" i="11" l="1"/>
  <c r="CL5" i="11"/>
  <c r="CM5" i="11" l="1"/>
  <c r="CL6" i="11"/>
  <c r="CN5" i="11" l="1"/>
  <c r="CM6" i="11"/>
  <c r="CN4" i="11" l="1"/>
  <c r="CN6" i="11"/>
  <c r="CO5" i="11"/>
  <c r="CO6" i="11" l="1"/>
  <c r="CP5" i="11"/>
  <c r="CP6" i="11" l="1"/>
  <c r="CQ5" i="11"/>
  <c r="CQ6" i="11" l="1"/>
  <c r="CR5" i="11"/>
  <c r="CR6" i="11" l="1"/>
  <c r="CS5" i="11"/>
  <c r="CS6" i="11" l="1"/>
  <c r="CT5" i="11"/>
  <c r="CT6" i="11" l="1"/>
  <c r="CU5" i="11"/>
  <c r="CV5" i="11" l="1"/>
  <c r="CU6" i="11"/>
  <c r="CU4" i="11"/>
  <c r="CW5" i="11" l="1"/>
  <c r="CV6" i="11"/>
  <c r="CX5" i="11" l="1"/>
  <c r="CW6" i="11"/>
  <c r="CY5" i="11" l="1"/>
  <c r="CX6" i="11"/>
  <c r="CZ5" i="11" l="1"/>
  <c r="CY6" i="11"/>
  <c r="CZ6" i="11" l="1"/>
  <c r="DA5" i="11"/>
  <c r="DB5" i="11" l="1"/>
  <c r="DA6" i="11"/>
  <c r="DC5" i="11" l="1"/>
  <c r="DB6" i="11"/>
  <c r="DB4" i="11"/>
  <c r="DD5" i="11" l="1"/>
  <c r="DC6" i="11"/>
  <c r="DE5" i="11" l="1"/>
  <c r="DD6" i="11"/>
  <c r="DE6" i="11" l="1"/>
  <c r="DF5" i="11"/>
  <c r="DF6" i="11" l="1"/>
  <c r="DG5" i="11"/>
  <c r="DH5" i="11" l="1"/>
  <c r="DG6" i="11"/>
  <c r="DH6" i="11" l="1"/>
  <c r="DI5" i="11"/>
  <c r="DJ5" i="11" l="1"/>
  <c r="DI4" i="11"/>
  <c r="DI6" i="11"/>
  <c r="DJ6" i="11" l="1"/>
  <c r="DK5" i="11"/>
  <c r="DL5" i="11" l="1"/>
  <c r="DK6" i="11"/>
  <c r="DL6" i="11" l="1"/>
  <c r="DM5" i="11"/>
  <c r="DN5" i="11" l="1"/>
  <c r="DM6" i="11"/>
  <c r="DN6" i="11" l="1"/>
  <c r="DO5" i="11"/>
  <c r="DO6" i="11" l="1"/>
  <c r="DP5" i="11"/>
  <c r="DP6" i="11" l="1"/>
  <c r="DP4" i="11"/>
  <c r="DQ5" i="11"/>
  <c r="DQ6" i="11" l="1"/>
  <c r="DR5" i="11"/>
  <c r="DR6" i="11" l="1"/>
  <c r="DS5" i="11"/>
  <c r="DS6" i="11" l="1"/>
  <c r="DT5" i="11"/>
  <c r="DU5" i="11" l="1"/>
  <c r="DT6" i="11"/>
  <c r="DU6" i="11" l="1"/>
  <c r="DV5" i="11"/>
  <c r="DV6" i="11" l="1"/>
  <c r="DW5" i="11"/>
  <c r="DW6" i="11" l="1"/>
  <c r="DW4" i="11"/>
  <c r="DX5" i="11"/>
  <c r="DX6" i="11" l="1"/>
  <c r="DY5" i="11"/>
  <c r="DY6" i="11" l="1"/>
  <c r="DZ5" i="11"/>
  <c r="DZ6" i="11" l="1"/>
  <c r="EA5" i="11"/>
  <c r="EA6" i="11" l="1"/>
  <c r="EB5" i="11"/>
  <c r="EB6" i="11" l="1"/>
  <c r="EC5" i="11"/>
  <c r="ED5" i="11" l="1"/>
  <c r="EC6" i="11"/>
  <c r="EE5" i="11" l="1"/>
  <c r="ED6" i="11"/>
  <c r="ED4" i="11"/>
  <c r="EE6" i="11" l="1"/>
  <c r="EF5" i="11"/>
  <c r="EF6" i="11" l="1"/>
  <c r="EG5" i="11"/>
  <c r="EG6" i="11" l="1"/>
  <c r="EH5" i="11"/>
  <c r="EI5" i="11" l="1"/>
  <c r="EH6" i="11"/>
  <c r="EI6" i="11" l="1"/>
  <c r="EJ5" i="11"/>
  <c r="EK5" i="11" l="1"/>
  <c r="EJ6" i="11"/>
  <c r="EL5" i="11" l="1"/>
  <c r="EK6" i="11"/>
  <c r="EK4" i="11"/>
  <c r="EL6" i="11" l="1"/>
  <c r="EM5" i="11"/>
  <c r="EN5" i="11" l="1"/>
  <c r="EM6" i="11"/>
  <c r="EN6" i="11" l="1"/>
  <c r="EO5" i="11"/>
  <c r="EP5" i="11" l="1"/>
  <c r="EO6" i="11"/>
  <c r="EP6" i="11" l="1"/>
  <c r="EQ5" i="11"/>
  <c r="ER5" i="11" l="1"/>
  <c r="EQ6" i="11"/>
  <c r="ER4" i="11" l="1"/>
  <c r="ER6" i="11"/>
  <c r="ES5" i="11"/>
  <c r="ET5" i="11" l="1"/>
  <c r="ES6" i="11"/>
  <c r="EU5" i="11" l="1"/>
  <c r="ET6" i="11"/>
  <c r="EV5" i="11" l="1"/>
  <c r="EU6" i="11"/>
  <c r="EW5" i="11" l="1"/>
  <c r="EV6" i="11"/>
  <c r="EX5" i="11" l="1"/>
  <c r="EW6" i="11"/>
  <c r="EY5" i="11" l="1"/>
  <c r="EX6" i="11"/>
  <c r="EZ5" i="11" l="1"/>
  <c r="EY4" i="11"/>
  <c r="EY6" i="11"/>
  <c r="FA5" i="11" l="1"/>
  <c r="EZ6" i="11"/>
  <c r="FA6" i="11" l="1"/>
  <c r="FB5" i="11"/>
  <c r="FB6" i="11" l="1"/>
  <c r="FC5" i="11"/>
  <c r="FC6" i="11" l="1"/>
  <c r="FD5" i="11"/>
  <c r="FD6" i="11" l="1"/>
  <c r="FE5" i="11"/>
  <c r="FE6" i="11" l="1"/>
  <c r="FF5" i="11"/>
  <c r="FF4" i="11" l="1"/>
  <c r="FF6" i="11"/>
  <c r="FG5" i="11"/>
  <c r="FG6" i="11" l="1"/>
  <c r="FH5" i="11"/>
  <c r="FH6" i="11" l="1"/>
  <c r="FI5" i="11"/>
  <c r="FJ5" i="11" l="1"/>
  <c r="FI6" i="11"/>
  <c r="FK5" i="11" l="1"/>
  <c r="FJ6" i="11"/>
  <c r="FL5" i="11" l="1"/>
  <c r="FK6" i="11"/>
  <c r="FM5" i="11" l="1"/>
  <c r="FL6" i="11"/>
  <c r="FM4" i="11" l="1"/>
  <c r="FM6" i="11"/>
  <c r="FN5" i="11"/>
  <c r="FO5" i="11" l="1"/>
  <c r="FN6" i="11"/>
  <c r="FP5" i="11" l="1"/>
  <c r="FO6" i="11"/>
  <c r="FQ5" i="11" l="1"/>
  <c r="FP6" i="11"/>
  <c r="FQ6" i="11" l="1"/>
  <c r="FR5" i="11"/>
  <c r="FR6" i="11" l="1"/>
  <c r="FS5" i="11"/>
  <c r="FS6" i="11" l="1"/>
  <c r="FT5" i="11"/>
  <c r="FT6" i="11" l="1"/>
  <c r="FU5" i="11"/>
  <c r="FT4" i="11"/>
  <c r="FV5" i="11" l="1"/>
  <c r="FU6" i="11"/>
  <c r="FV6" i="11" l="1"/>
  <c r="FW5" i="11"/>
  <c r="FW6" i="11" l="1"/>
  <c r="FX5" i="11"/>
  <c r="FX6" i="11" l="1"/>
  <c r="FY5" i="11"/>
  <c r="FZ5" i="11" l="1"/>
  <c r="FY6" i="11"/>
  <c r="GA5" i="11" l="1"/>
  <c r="FZ6" i="11"/>
  <c r="GB5" i="11" l="1"/>
  <c r="GA4" i="11"/>
  <c r="GA6" i="11"/>
  <c r="GC5" i="11" l="1"/>
  <c r="GB6" i="11"/>
  <c r="GD5" i="11" l="1"/>
  <c r="GC6" i="11"/>
  <c r="GE5" i="11" l="1"/>
  <c r="GD6" i="11"/>
  <c r="GF5" i="11" l="1"/>
  <c r="GE6" i="11"/>
  <c r="GG5" i="11" l="1"/>
  <c r="GF6" i="11"/>
  <c r="GG6" i="11" l="1"/>
  <c r="GH5" i="11"/>
  <c r="GH4" i="11" l="1"/>
  <c r="GH6" i="11"/>
  <c r="GI5" i="11"/>
  <c r="GI6" i="11" l="1"/>
  <c r="GJ5" i="11"/>
  <c r="GJ6" i="11" l="1"/>
  <c r="GK5" i="11"/>
  <c r="GK6" i="11" l="1"/>
  <c r="GL5" i="11"/>
  <c r="GM5" i="11" l="1"/>
  <c r="GL6" i="11"/>
  <c r="GN5" i="11" l="1"/>
  <c r="GM6" i="11"/>
  <c r="GO5" i="11" l="1"/>
  <c r="GN6" i="11"/>
  <c r="GO4" i="11" l="1"/>
  <c r="GP5" i="11"/>
  <c r="GO6" i="11"/>
  <c r="GP6" i="11" l="1"/>
  <c r="GQ5" i="11"/>
  <c r="GQ6" i="11" l="1"/>
  <c r="GR5" i="11"/>
  <c r="GR6" i="11" l="1"/>
  <c r="GS5" i="11"/>
  <c r="GS6" i="11" l="1"/>
  <c r="GT5" i="11"/>
  <c r="GT6" i="11" l="1"/>
  <c r="GU5" i="11"/>
  <c r="GU6" i="11" l="1"/>
  <c r="GV5" i="11"/>
  <c r="GV6" i="11" l="1"/>
  <c r="GW5" i="11"/>
  <c r="GV4" i="11"/>
  <c r="GW6" i="11" l="1"/>
  <c r="GX5" i="11"/>
  <c r="GX6" i="11" l="1"/>
  <c r="GY5" i="11"/>
  <c r="GZ5" i="11" l="1"/>
  <c r="GY6" i="11"/>
  <c r="HA5" i="11" l="1"/>
  <c r="GZ6" i="11"/>
  <c r="HB5" i="11" l="1"/>
  <c r="HA6" i="11"/>
  <c r="HC5" i="11" l="1"/>
  <c r="HB6" i="11"/>
  <c r="HD5" i="11" l="1"/>
  <c r="HC4" i="11"/>
  <c r="HC6" i="11"/>
  <c r="HE5" i="11" l="1"/>
  <c r="HD6" i="11"/>
  <c r="HF5" i="11" l="1"/>
  <c r="HE6" i="11"/>
  <c r="HF6" i="11" l="1"/>
  <c r="HG5" i="11"/>
  <c r="HG6" i="11" l="1"/>
  <c r="HH5" i="11"/>
  <c r="HH6" i="11" l="1"/>
  <c r="HI5" i="11"/>
  <c r="HJ5" i="11" l="1"/>
  <c r="HI6" i="11"/>
  <c r="HJ6" i="11" l="1"/>
  <c r="HJ4" i="11"/>
  <c r="HK5" i="11"/>
  <c r="HK6" i="11" l="1"/>
  <c r="HL5" i="11"/>
  <c r="HL6" i="11" l="1"/>
  <c r="HM5" i="11"/>
  <c r="HM6" i="11" l="1"/>
  <c r="HN5" i="11"/>
  <c r="HN6" i="11" l="1"/>
  <c r="HO5" i="11"/>
  <c r="HO6" i="11" l="1"/>
  <c r="HP5" i="11"/>
  <c r="HP6" i="11" l="1"/>
  <c r="HQ5" i="11"/>
  <c r="HQ4" i="11" l="1"/>
  <c r="HQ6" i="11"/>
  <c r="HR5" i="11"/>
  <c r="HS5" i="11" l="1"/>
  <c r="HR6" i="11"/>
  <c r="HT5" i="11" l="1"/>
  <c r="HS6" i="11"/>
  <c r="HT6" i="11" l="1"/>
  <c r="HU5" i="11"/>
  <c r="HV5" i="11" l="1"/>
  <c r="HU6" i="11"/>
  <c r="HV6" i="11" l="1"/>
  <c r="HW5" i="11"/>
  <c r="HW6" i="11" s="1"/>
</calcChain>
</file>

<file path=xl/sharedStrings.xml><?xml version="1.0" encoding="utf-8"?>
<sst xmlns="http://schemas.openxmlformats.org/spreadsheetml/2006/main" count="51" uniqueCount="51">
  <si>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</si>
  <si>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</si>
  <si>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</si>
  <si>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</si>
  <si>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</si>
  <si>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</si>
  <si>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</si>
  <si>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</si>
  <si>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This is an empty row</t>
  </si>
  <si>
    <t>This row marks the end of the Project Schedule. DO NOT enter anything in this row. 
Insert new rows ABOVE this one to continue building out your Project Schedule.</t>
  </si>
  <si>
    <t>TASK</t>
  </si>
  <si>
    <t>Insert new rows ABOVE this one</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</si>
  <si>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</si>
  <si>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</si>
  <si>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</si>
  <si>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</si>
  <si>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</si>
  <si>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</si>
  <si>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</si>
  <si>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</si>
  <si>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</si>
  <si>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</si>
  <si>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</si>
  <si>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</si>
  <si>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</si>
  <si>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</si>
  <si>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</si>
  <si>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</si>
  <si>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</si>
  <si>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</si>
  <si>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</si>
  <si>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COMP3000</t>
  </si>
  <si>
    <t>University of Plymouth</t>
  </si>
  <si>
    <t>Seren-Lilian James</t>
  </si>
  <si>
    <t>Gather Data</t>
  </si>
  <si>
    <t>Showcase</t>
  </si>
  <si>
    <t>Viva</t>
  </si>
  <si>
    <t>Poster &amp; Description</t>
  </si>
  <si>
    <t>Planning</t>
  </si>
  <si>
    <t>Literature Review</t>
  </si>
  <si>
    <t>Background Research</t>
  </si>
  <si>
    <t>Verify Data Integrity</t>
  </si>
  <si>
    <t>Configure Test Enviroment</t>
  </si>
  <si>
    <t>Data Analysis</t>
  </si>
  <si>
    <t>Create Visualisations</t>
  </si>
  <si>
    <t>Conduct Authentication Tests</t>
  </si>
  <si>
    <t>Draft Research Paper</t>
  </si>
  <si>
    <t>Rewrites and Improvements</t>
  </si>
  <si>
    <t>Dataset Preparation</t>
  </si>
  <si>
    <t>Design Delay scripts</t>
  </si>
  <si>
    <t>Collect Data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</si>
</sst>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4"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1">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19" fillId="0" borderId="0"/>
    <xf numFmtId="165"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7"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23" fillId="0" borderId="0" applyNumberFormat="0" applyFill="0" applyBorder="0" applyAlignment="0" applyProtection="0"/>
    <xf numFmtId="0" fontId="24" fillId="10" borderId="0" applyNumberFormat="0" applyBorder="0" applyAlignment="0" applyProtection="0"/>
    <xf numFmtId="0" fontId="25" fillId="11" borderId="0" applyNumberFormat="0" applyBorder="0" applyAlignment="0" applyProtection="0"/>
    <xf numFmtId="0" fontId="26" fillId="12" borderId="0" applyNumberFormat="0" applyBorder="0" applyAlignment="0" applyProtection="0"/>
    <xf numFmtId="0" fontId="27" fillId="13" borderId="11" applyNumberFormat="0" applyAlignment="0" applyProtection="0"/>
    <xf numFmtId="0" fontId="28" fillId="14" borderId="12" applyNumberFormat="0" applyAlignment="0" applyProtection="0"/>
    <xf numFmtId="0" fontId="29" fillId="14" borderId="11" applyNumberFormat="0" applyAlignment="0" applyProtection="0"/>
    <xf numFmtId="0" fontId="30" fillId="0" borderId="13" applyNumberFormat="0" applyFill="0" applyAlignment="0" applyProtection="0"/>
    <xf numFmtId="0" fontId="31" fillId="15" borderId="14" applyNumberFormat="0" applyAlignment="0" applyProtection="0"/>
    <xf numFmtId="0" fontId="32" fillId="0" borderId="0" applyNumberFormat="0" applyFill="0" applyBorder="0" applyAlignment="0" applyProtection="0"/>
    <xf numFmtId="0" fontId="8" fillId="16"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19"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19"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9"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9"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19"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19"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cellStyleXfs>
  <cellXfs count="61">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6" fillId="9" borderId="1" xfId="0" applyFont="1" applyFill="1" applyBorder="1" applyAlignment="1">
      <alignment horizontal="left" vertical="center" indent="1"/>
    </xf>
    <xf numFmtId="0" fontId="6" fillId="9" borderId="1" xfId="0" applyFont="1" applyFill="1" applyBorder="1" applyAlignment="1">
      <alignment horizontal="center" vertical="center" wrapText="1"/>
    </xf>
    <xf numFmtId="0" fontId="11" fillId="8" borderId="8" xfId="0" applyFont="1" applyFill="1" applyBorder="1" applyAlignment="1">
      <alignment horizontal="center" vertical="center" shrinkToFit="1"/>
    </xf>
    <xf numFmtId="9" fontId="4" fillId="0" borderId="2" xfId="2" applyFont="1" applyBorder="1" applyAlignment="1">
      <alignment horizontal="center" vertical="center"/>
    </xf>
    <xf numFmtId="0" fontId="4" fillId="0" borderId="2" xfId="0" applyFont="1" applyBorder="1" applyAlignment="1">
      <alignment horizontal="center" vertical="center"/>
    </xf>
    <xf numFmtId="9" fontId="4" fillId="3" borderId="2" xfId="2" applyFont="1" applyFill="1" applyBorder="1" applyAlignment="1">
      <alignment horizontal="center" vertical="center"/>
    </xf>
    <xf numFmtId="9" fontId="4" fillId="4" borderId="2" xfId="2" applyFont="1" applyFill="1" applyBorder="1" applyAlignment="1">
      <alignment horizontal="center" vertical="center"/>
    </xf>
    <xf numFmtId="9" fontId="4" fillId="7" borderId="2" xfId="2" applyFont="1" applyFill="1" applyBorder="1" applyAlignment="1">
      <alignment horizontal="center" vertical="center"/>
    </xf>
    <xf numFmtId="9" fontId="4" fillId="6" borderId="2" xfId="2" applyFont="1" applyFill="1" applyBorder="1" applyAlignment="1">
      <alignment horizontal="center" vertical="center"/>
    </xf>
    <xf numFmtId="0" fontId="7" fillId="2" borderId="2" xfId="0" applyFont="1" applyFill="1" applyBorder="1" applyAlignment="1">
      <alignment horizontal="left" vertical="center" indent="1"/>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 fillId="0" borderId="0" xfId="0" applyFont="1" applyAlignment="1">
      <alignment horizontal="center" vertical="center"/>
    </xf>
    <xf numFmtId="0" fontId="1" fillId="0" borderId="0" xfId="0" applyFont="1" applyAlignment="1">
      <alignment vertical="top"/>
    </xf>
    <xf numFmtId="0" fontId="13" fillId="0" borderId="0" xfId="0" applyFont="1" applyAlignment="1">
      <alignment horizontal="left" vertical="center"/>
    </xf>
    <xf numFmtId="0" fontId="14" fillId="0" borderId="0" xfId="0" applyFont="1" applyAlignment="1">
      <alignment horizontal="left" vertical="center"/>
    </xf>
    <xf numFmtId="0" fontId="16" fillId="0" borderId="0" xfId="0" applyFont="1"/>
    <xf numFmtId="0" fontId="18" fillId="0" borderId="0" xfId="0" applyFont="1" applyAlignment="1">
      <alignment vertical="center"/>
    </xf>
    <xf numFmtId="0" fontId="17" fillId="0" borderId="0" xfId="0" applyFont="1" applyAlignment="1">
      <alignment horizontal="left" vertical="top" wrapText="1" indent="1"/>
    </xf>
    <xf numFmtId="0" fontId="1" fillId="0" borderId="0" xfId="0" applyFont="1" applyAlignment="1">
      <alignment horizontal="left" vertical="top"/>
    </xf>
    <xf numFmtId="0" fontId="15"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19" fillId="0" borderId="0" xfId="3"/>
    <xf numFmtId="0" fontId="19" fillId="0" borderId="0" xfId="3" applyAlignment="1">
      <alignment wrapText="1"/>
    </xf>
    <xf numFmtId="0" fontId="19" fillId="0" borderId="0" xfId="0" applyFont="1" applyAlignment="1">
      <alignment horizontal="center"/>
    </xf>
    <xf numFmtId="0" fontId="12" fillId="0" borderId="0" xfId="5" applyAlignment="1">
      <alignment horizontal="left"/>
    </xf>
    <xf numFmtId="0" fontId="9" fillId="0" borderId="0" xfId="6"/>
    <xf numFmtId="0" fontId="9" fillId="0" borderId="0" xfId="7">
      <alignment vertical="top"/>
    </xf>
    <xf numFmtId="0" fontId="8" fillId="3" borderId="2" xfId="12" applyFill="1">
      <alignment horizontal="left" vertical="center" indent="2"/>
    </xf>
    <xf numFmtId="0" fontId="8" fillId="4" borderId="2" xfId="12" applyFill="1">
      <alignment horizontal="left" vertical="center" indent="2"/>
    </xf>
    <xf numFmtId="0" fontId="8" fillId="7" borderId="2" xfId="12" applyFill="1">
      <alignment horizontal="left" vertical="center" indent="2"/>
    </xf>
    <xf numFmtId="0" fontId="8" fillId="6" borderId="2" xfId="12" applyFill="1">
      <alignment horizontal="left" vertical="center" indent="2"/>
    </xf>
    <xf numFmtId="0" fontId="8" fillId="0" borderId="2" xfId="12">
      <alignment horizontal="left" vertical="center" indent="2"/>
    </xf>
    <xf numFmtId="0" fontId="0" fillId="0" borderId="10" xfId="0" applyBorder="1"/>
    <xf numFmtId="0" fontId="20" fillId="0" borderId="0" xfId="0" applyFont="1"/>
    <xf numFmtId="0" fontId="21" fillId="0" borderId="0" xfId="1" applyFont="1" applyProtection="1">
      <alignment vertical="top"/>
    </xf>
    <xf numFmtId="0" fontId="4" fillId="0" borderId="0" xfId="0" applyFont="1" applyAlignment="1">
      <alignment vertical="top"/>
    </xf>
    <xf numFmtId="167" fontId="8" fillId="3" borderId="2" xfId="10" applyFill="1">
      <alignment horizontal="center" vertical="center"/>
    </xf>
    <xf numFmtId="167" fontId="8" fillId="0" borderId="2" xfId="10">
      <alignment horizontal="center" vertical="center"/>
    </xf>
    <xf numFmtId="167" fontId="3" fillId="2" borderId="2" xfId="0" applyNumberFormat="1" applyFont="1" applyFill="1" applyBorder="1" applyAlignment="1">
      <alignment horizontal="left" vertical="center"/>
    </xf>
    <xf numFmtId="167" fontId="4" fillId="2" borderId="2" xfId="0" applyNumberFormat="1" applyFont="1" applyFill="1" applyBorder="1" applyAlignment="1">
      <alignment horizontal="center" vertical="center"/>
    </xf>
    <xf numFmtId="168" fontId="10" fillId="5" borderId="6" xfId="0" applyNumberFormat="1" applyFont="1" applyFill="1" applyBorder="1" applyAlignment="1">
      <alignment horizontal="center" vertical="center"/>
    </xf>
    <xf numFmtId="168" fontId="10" fillId="5" borderId="0" xfId="0" applyNumberFormat="1" applyFont="1" applyFill="1" applyAlignment="1">
      <alignment horizontal="center" vertical="center"/>
    </xf>
    <xf numFmtId="168" fontId="10" fillId="5" borderId="7" xfId="0" applyNumberFormat="1" applyFont="1" applyFill="1" applyBorder="1" applyAlignment="1">
      <alignment horizontal="center" vertical="center"/>
    </xf>
    <xf numFmtId="0" fontId="8" fillId="0" borderId="7" xfId="8" applyBorder="1">
      <alignment horizontal="right" indent="1"/>
    </xf>
    <xf numFmtId="16" fontId="0" fillId="0" borderId="3" xfId="0" applyNumberFormat="1" applyBorder="1" applyAlignment="1">
      <alignment horizontal="center" vertical="center"/>
    </xf>
    <xf numFmtId="169" fontId="0" fillId="5" borderId="4" xfId="0" applyNumberFormat="1" applyFill="1" applyBorder="1" applyAlignment="1">
      <alignment horizontal="left" vertical="center" wrapText="1" indent="1"/>
    </xf>
    <xf numFmtId="169" fontId="0" fillId="5" borderId="1" xfId="0" applyNumberFormat="1" applyFill="1" applyBorder="1" applyAlignment="1">
      <alignment horizontal="left" vertical="center" wrapText="1" indent="1"/>
    </xf>
    <xf numFmtId="169" fontId="0" fillId="5" borderId="5" xfId="0" applyNumberFormat="1" applyFill="1" applyBorder="1" applyAlignment="1">
      <alignment horizontal="left" vertical="center" wrapText="1" indent="1"/>
    </xf>
    <xf numFmtId="166" fontId="8" fillId="0" borderId="3" xfId="9">
      <alignment horizontal="center" vertical="center"/>
    </xf>
    <xf numFmtId="9" fontId="0" fillId="0" borderId="0" xfId="0" applyNumberFormat="1" applyAlignment="1">
      <alignment vertical="center"/>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4">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fill>
        <patternFill>
          <bgColor theme="7"/>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W28"/>
  <sheetViews>
    <sheetView showGridLines="0" tabSelected="1" showRuler="0" zoomScale="63" zoomScaleNormal="55" zoomScalePageLayoutView="70" workbookViewId="0">
      <pane ySplit="6" topLeftCell="A9" activePane="bottomLeft" state="frozen"/>
      <selection pane="bottomLeft" activeCell="C17" sqref="C17"/>
    </sheetView>
  </sheetViews>
  <sheetFormatPr defaultRowHeight="30" customHeight="1" x14ac:dyDescent="0.3"/>
  <cols>
    <col min="1" max="1" width="2.6640625" style="32" customWidth="1"/>
    <col min="2" max="2" width="24.33203125" customWidth="1"/>
    <col min="3" max="3" width="17.88671875" customWidth="1"/>
    <col min="4" max="4" width="10.44140625" style="4" customWidth="1"/>
    <col min="5" max="5" width="10.44140625" customWidth="1"/>
    <col min="6" max="6" width="2.6640625" customWidth="1"/>
    <col min="7" max="7" width="6.109375" hidden="1" customWidth="1"/>
    <col min="8" max="64" width="2.5546875" customWidth="1"/>
    <col min="65" max="66" width="3" customWidth="1"/>
    <col min="67" max="67" width="2.44140625" bestFit="1" customWidth="1"/>
    <col min="68" max="68" width="2.109375" bestFit="1" customWidth="1"/>
    <col min="69" max="69" width="2.44140625" bestFit="1" customWidth="1"/>
    <col min="70" max="70" width="2.109375" bestFit="1" customWidth="1"/>
    <col min="71" max="72" width="2.44140625" bestFit="1" customWidth="1"/>
    <col min="73" max="73" width="3" bestFit="1" customWidth="1"/>
    <col min="74" max="74" width="2.6640625" bestFit="1" customWidth="1"/>
    <col min="75" max="77" width="3" bestFit="1" customWidth="1"/>
    <col min="78" max="78" width="2.88671875" bestFit="1" customWidth="1"/>
    <col min="79" max="79" width="3" bestFit="1" customWidth="1"/>
    <col min="80" max="80" width="2.88671875" bestFit="1" customWidth="1"/>
    <col min="81" max="82" width="3" bestFit="1" customWidth="1"/>
    <col min="83" max="83" width="3.44140625" bestFit="1" customWidth="1"/>
    <col min="84" max="84" width="3" bestFit="1" customWidth="1"/>
    <col min="85" max="87" width="3.44140625" bestFit="1" customWidth="1"/>
    <col min="88" max="88" width="3.109375" bestFit="1" customWidth="1"/>
    <col min="89" max="89" width="3.44140625" bestFit="1" customWidth="1"/>
    <col min="90" max="90" width="3.109375" bestFit="1" customWidth="1"/>
    <col min="91" max="93" width="3.44140625" bestFit="1" customWidth="1"/>
    <col min="94" max="94" width="3" bestFit="1" customWidth="1"/>
    <col min="95" max="95" width="2" bestFit="1" customWidth="1"/>
    <col min="96" max="98" width="2.44140625" bestFit="1" customWidth="1"/>
    <col min="99" max="99" width="2.33203125" bestFit="1" customWidth="1"/>
    <col min="100" max="103" width="2.44140625" bestFit="1" customWidth="1"/>
    <col min="104" max="104" width="3" bestFit="1" customWidth="1"/>
    <col min="105" max="105" width="2.6640625" bestFit="1" customWidth="1"/>
    <col min="106" max="108" width="3" bestFit="1" customWidth="1"/>
    <col min="109" max="109" width="2.88671875" bestFit="1" customWidth="1"/>
    <col min="110" max="110" width="3" bestFit="1" customWidth="1"/>
    <col min="111" max="111" width="2.88671875" bestFit="1" customWidth="1"/>
    <col min="112" max="113" width="3" bestFit="1" customWidth="1"/>
    <col min="114" max="114" width="3.44140625" bestFit="1" customWidth="1"/>
    <col min="115" max="115" width="3" bestFit="1" customWidth="1"/>
    <col min="116" max="118" width="3.44140625" bestFit="1" customWidth="1"/>
    <col min="119" max="119" width="3.109375" bestFit="1" customWidth="1"/>
    <col min="120" max="120" width="3.44140625" bestFit="1" customWidth="1"/>
    <col min="121" max="121" width="3.109375" bestFit="1" customWidth="1"/>
    <col min="122" max="124" width="3.44140625" bestFit="1" customWidth="1"/>
    <col min="125" max="125" width="3" bestFit="1" customWidth="1"/>
    <col min="126" max="126" width="2" bestFit="1" customWidth="1"/>
    <col min="127" max="129" width="2.44140625" bestFit="1" customWidth="1"/>
    <col min="130" max="130" width="2.109375" bestFit="1" customWidth="1"/>
    <col min="131" max="131" width="2.44140625" bestFit="1" customWidth="1"/>
    <col min="132" max="132" width="2.109375" bestFit="1" customWidth="1"/>
    <col min="133" max="134" width="2.44140625" bestFit="1" customWidth="1"/>
    <col min="135" max="135" width="3" bestFit="1" customWidth="1"/>
    <col min="136" max="136" width="2.6640625" bestFit="1" customWidth="1"/>
    <col min="137" max="139" width="3" bestFit="1" customWidth="1"/>
    <col min="140" max="140" width="2.88671875" bestFit="1" customWidth="1"/>
    <col min="141" max="141" width="3" bestFit="1" customWidth="1"/>
    <col min="142" max="142" width="2.88671875" bestFit="1" customWidth="1"/>
    <col min="143" max="144" width="3" bestFit="1" customWidth="1"/>
    <col min="145" max="145" width="3.44140625" bestFit="1" customWidth="1"/>
    <col min="146" max="146" width="3" bestFit="1" customWidth="1"/>
    <col min="147" max="149" width="3.44140625" bestFit="1" customWidth="1"/>
    <col min="150" max="150" width="3.109375" bestFit="1" customWidth="1"/>
    <col min="151" max="151" width="3.44140625" bestFit="1" customWidth="1"/>
    <col min="152" max="152" width="3.109375" bestFit="1" customWidth="1"/>
    <col min="153" max="153" width="3.44140625" bestFit="1" customWidth="1"/>
    <col min="154" max="154" width="2" bestFit="1" customWidth="1"/>
    <col min="155" max="157" width="2.44140625" bestFit="1" customWidth="1"/>
    <col min="158" max="158" width="2.109375" bestFit="1" customWidth="1"/>
    <col min="159" max="159" width="2.44140625" bestFit="1" customWidth="1"/>
    <col min="160" max="160" width="2.109375" bestFit="1" customWidth="1"/>
    <col min="161" max="162" width="2.44140625" bestFit="1" customWidth="1"/>
    <col min="163" max="163" width="3" bestFit="1" customWidth="1"/>
    <col min="164" max="164" width="2.6640625" bestFit="1" customWidth="1"/>
    <col min="165" max="167" width="3" bestFit="1" customWidth="1"/>
    <col min="168" max="168" width="2.88671875" bestFit="1" customWidth="1"/>
    <col min="169" max="169" width="3" bestFit="1" customWidth="1"/>
    <col min="170" max="170" width="2.88671875" bestFit="1" customWidth="1"/>
    <col min="171" max="172" width="3" bestFit="1" customWidth="1"/>
    <col min="173" max="173" width="3.44140625" bestFit="1" customWidth="1"/>
    <col min="174" max="174" width="3" bestFit="1" customWidth="1"/>
    <col min="175" max="177" width="3.44140625" bestFit="1" customWidth="1"/>
    <col min="178" max="178" width="3.109375" bestFit="1" customWidth="1"/>
    <col min="179" max="179" width="3.44140625" bestFit="1" customWidth="1"/>
    <col min="180" max="180" width="3.109375" bestFit="1" customWidth="1"/>
    <col min="181" max="183" width="3.44140625" bestFit="1" customWidth="1"/>
    <col min="184" max="184" width="3" bestFit="1" customWidth="1"/>
    <col min="185" max="188" width="2.44140625" bestFit="1" customWidth="1"/>
    <col min="189" max="189" width="2.109375" bestFit="1" customWidth="1"/>
    <col min="190" max="190" width="2.44140625" bestFit="1" customWidth="1"/>
    <col min="191" max="191" width="2.109375" bestFit="1" customWidth="1"/>
    <col min="192" max="193" width="2.44140625" bestFit="1" customWidth="1"/>
    <col min="194" max="194" width="3" bestFit="1" customWidth="1"/>
    <col min="195" max="195" width="2.6640625" bestFit="1" customWidth="1"/>
    <col min="196" max="198" width="3" bestFit="1" customWidth="1"/>
    <col min="199" max="199" width="2.88671875" bestFit="1" customWidth="1"/>
    <col min="200" max="200" width="3" bestFit="1" customWidth="1"/>
    <col min="201" max="201" width="2.88671875" bestFit="1" customWidth="1"/>
    <col min="202" max="203" width="3" bestFit="1" customWidth="1"/>
    <col min="204" max="204" width="3.44140625" bestFit="1" customWidth="1"/>
    <col min="205" max="205" width="3" bestFit="1" customWidth="1"/>
    <col min="206" max="208" width="3.44140625" bestFit="1" customWidth="1"/>
    <col min="209" max="209" width="3.109375" bestFit="1" customWidth="1"/>
    <col min="210" max="210" width="3.44140625" bestFit="1" customWidth="1"/>
    <col min="211" max="211" width="3.109375" bestFit="1" customWidth="1"/>
    <col min="212" max="214" width="3.44140625" bestFit="1" customWidth="1"/>
    <col min="215" max="215" width="2" bestFit="1" customWidth="1"/>
    <col min="216" max="218" width="2.44140625" bestFit="1" customWidth="1"/>
    <col min="219" max="219" width="2.109375" bestFit="1" customWidth="1"/>
    <col min="220" max="220" width="2.44140625" bestFit="1" customWidth="1"/>
    <col min="221" max="221" width="2.109375" bestFit="1" customWidth="1"/>
    <col min="222" max="223" width="2.44140625" bestFit="1" customWidth="1"/>
    <col min="224" max="224" width="3" bestFit="1" customWidth="1"/>
    <col min="225" max="225" width="2.6640625" bestFit="1" customWidth="1"/>
    <col min="226" max="228" width="3" bestFit="1" customWidth="1"/>
    <col min="229" max="229" width="2.88671875" bestFit="1" customWidth="1"/>
    <col min="230" max="230" width="3" bestFit="1" customWidth="1"/>
    <col min="231" max="231" width="2.88671875" bestFit="1" customWidth="1"/>
    <col min="232" max="233" width="3" bestFit="1" customWidth="1"/>
    <col min="234" max="234" width="3.44140625" bestFit="1" customWidth="1"/>
    <col min="235" max="235" width="3" bestFit="1" customWidth="1"/>
    <col min="236" max="238" width="3.44140625" bestFit="1" customWidth="1"/>
    <col min="239" max="239" width="3.109375" bestFit="1" customWidth="1"/>
    <col min="240" max="240" width="3.44140625" bestFit="1" customWidth="1"/>
    <col min="241" max="241" width="3.109375" bestFit="1" customWidth="1"/>
    <col min="242" max="244" width="3.44140625" bestFit="1" customWidth="1"/>
    <col min="245" max="245" width="3" bestFit="1" customWidth="1"/>
    <col min="246" max="246" width="2.33203125" bestFit="1" customWidth="1"/>
    <col min="247" max="249" width="2.44140625" bestFit="1" customWidth="1"/>
    <col min="250" max="250" width="2.109375" bestFit="1" customWidth="1"/>
    <col min="251" max="251" width="2.44140625" bestFit="1" customWidth="1"/>
    <col min="252" max="252" width="2.109375" bestFit="1" customWidth="1"/>
    <col min="253" max="254" width="2.44140625" bestFit="1" customWidth="1"/>
    <col min="255" max="255" width="3" bestFit="1" customWidth="1"/>
    <col min="256" max="256" width="2.6640625" bestFit="1" customWidth="1"/>
    <col min="257" max="259" width="3" bestFit="1" customWidth="1"/>
    <col min="260" max="260" width="2.88671875" bestFit="1" customWidth="1"/>
    <col min="261" max="261" width="3" bestFit="1" customWidth="1"/>
    <col min="262" max="262" width="2.88671875" bestFit="1" customWidth="1"/>
    <col min="263" max="264" width="3" bestFit="1" customWidth="1"/>
    <col min="265" max="265" width="3.44140625" bestFit="1" customWidth="1"/>
    <col min="266" max="266" width="3" bestFit="1" customWidth="1"/>
    <col min="267" max="269" width="3.44140625" bestFit="1" customWidth="1"/>
    <col min="270" max="270" width="3.109375" bestFit="1" customWidth="1"/>
    <col min="271" max="271" width="3.44140625" bestFit="1" customWidth="1"/>
    <col min="272" max="272" width="3.109375" bestFit="1" customWidth="1"/>
    <col min="273" max="275" width="3.44140625" bestFit="1" customWidth="1"/>
    <col min="276" max="279" width="2.44140625" bestFit="1" customWidth="1"/>
    <col min="280" max="280" width="2.109375" bestFit="1" customWidth="1"/>
    <col min="281" max="281" width="2.44140625" bestFit="1" customWidth="1"/>
    <col min="282" max="282" width="2.109375" bestFit="1" customWidth="1"/>
    <col min="283" max="284" width="2.44140625" bestFit="1" customWidth="1"/>
    <col min="285" max="285" width="3" bestFit="1" customWidth="1"/>
    <col min="286" max="286" width="2.6640625" bestFit="1" customWidth="1"/>
    <col min="287" max="289" width="3" bestFit="1" customWidth="1"/>
    <col min="290" max="290" width="2.88671875" bestFit="1" customWidth="1"/>
    <col min="291" max="291" width="3" bestFit="1" customWidth="1"/>
    <col min="292" max="292" width="2.88671875" bestFit="1" customWidth="1"/>
    <col min="293" max="294" width="3" bestFit="1" customWidth="1"/>
    <col min="295" max="295" width="3.44140625" bestFit="1" customWidth="1"/>
    <col min="296" max="296" width="3" bestFit="1" customWidth="1"/>
    <col min="297" max="299" width="3.44140625" bestFit="1" customWidth="1"/>
    <col min="300" max="300" width="3.109375" bestFit="1" customWidth="1"/>
    <col min="301" max="301" width="3.44140625" bestFit="1" customWidth="1"/>
    <col min="302" max="302" width="3.109375" bestFit="1" customWidth="1"/>
    <col min="303" max="305" width="3.44140625" bestFit="1" customWidth="1"/>
    <col min="306" max="306" width="3" bestFit="1" customWidth="1"/>
    <col min="307" max="307" width="2" bestFit="1" customWidth="1"/>
    <col min="308" max="312" width="2.44140625" bestFit="1" customWidth="1"/>
    <col min="313" max="313" width="2.109375" bestFit="1" customWidth="1"/>
    <col min="314" max="315" width="2.44140625" bestFit="1" customWidth="1"/>
    <col min="316" max="316" width="3" bestFit="1" customWidth="1"/>
    <col min="317" max="317" width="2.6640625" bestFit="1" customWidth="1"/>
    <col min="318" max="320" width="3" bestFit="1" customWidth="1"/>
    <col min="321" max="321" width="2.88671875" bestFit="1" customWidth="1"/>
    <col min="322" max="322" width="3" bestFit="1" customWidth="1"/>
    <col min="323" max="323" width="2.88671875" bestFit="1" customWidth="1"/>
    <col min="324" max="325" width="3" bestFit="1" customWidth="1"/>
    <col min="326" max="326" width="3.44140625" bestFit="1" customWidth="1"/>
    <col min="327" max="327" width="3" bestFit="1" customWidth="1"/>
    <col min="328" max="330" width="3.44140625" bestFit="1" customWidth="1"/>
    <col min="331" max="331" width="3.109375" bestFit="1" customWidth="1"/>
    <col min="332" max="332" width="3.44140625" bestFit="1" customWidth="1"/>
    <col min="333" max="333" width="3.109375" bestFit="1" customWidth="1"/>
    <col min="334" max="336" width="3.44140625" bestFit="1" customWidth="1"/>
    <col min="337" max="337" width="3" bestFit="1" customWidth="1"/>
    <col min="338" max="338" width="2" bestFit="1" customWidth="1"/>
    <col min="339" max="341" width="2.44140625" bestFit="1" customWidth="1"/>
    <col min="342" max="342" width="2.109375" bestFit="1" customWidth="1"/>
    <col min="343" max="343" width="2.44140625" bestFit="1" customWidth="1"/>
    <col min="344" max="344" width="2.33203125" bestFit="1" customWidth="1"/>
    <col min="345" max="346" width="2.44140625" bestFit="1" customWidth="1"/>
    <col min="347" max="347" width="3" bestFit="1" customWidth="1"/>
    <col min="348" max="348" width="2.6640625" bestFit="1" customWidth="1"/>
    <col min="349" max="351" width="3" bestFit="1" customWidth="1"/>
    <col min="352" max="352" width="2.88671875" bestFit="1" customWidth="1"/>
    <col min="353" max="353" width="3" bestFit="1" customWidth="1"/>
    <col min="354" max="354" width="2.88671875" bestFit="1" customWidth="1"/>
    <col min="355" max="356" width="3" bestFit="1" customWidth="1"/>
    <col min="357" max="357" width="3.44140625" bestFit="1" customWidth="1"/>
    <col min="358" max="358" width="3" bestFit="1" customWidth="1"/>
    <col min="359" max="361" width="3.44140625" bestFit="1" customWidth="1"/>
    <col min="362" max="362" width="3.109375" bestFit="1" customWidth="1"/>
    <col min="363" max="363" width="3.44140625" bestFit="1" customWidth="1"/>
    <col min="364" max="364" width="3.109375" bestFit="1" customWidth="1"/>
    <col min="365" max="367" width="3.44140625" bestFit="1" customWidth="1"/>
    <col min="368" max="368" width="2" bestFit="1" customWidth="1"/>
    <col min="369" max="371" width="2.44140625" bestFit="1" customWidth="1"/>
    <col min="372" max="372" width="2.33203125" bestFit="1" customWidth="1"/>
    <col min="373" max="376" width="2.44140625" bestFit="1" customWidth="1"/>
    <col min="377" max="377" width="3" bestFit="1" customWidth="1"/>
    <col min="378" max="378" width="2.6640625" bestFit="1" customWidth="1"/>
  </cols>
  <sheetData>
    <row r="1" spans="1:231" ht="30" customHeight="1" x14ac:dyDescent="0.55000000000000004">
      <c r="A1" s="33" t="s">
        <v>0</v>
      </c>
      <c r="B1" s="35" t="s">
        <v>31</v>
      </c>
      <c r="C1" s="1"/>
      <c r="D1" s="3"/>
      <c r="E1" s="21"/>
      <c r="G1" s="1"/>
      <c r="H1" s="44"/>
    </row>
    <row r="2" spans="1:231" ht="30" customHeight="1" x14ac:dyDescent="0.35">
      <c r="A2" s="32" t="s">
        <v>1</v>
      </c>
      <c r="B2" s="36" t="s">
        <v>32</v>
      </c>
      <c r="H2" s="45"/>
    </row>
    <row r="3" spans="1:231" ht="30" customHeight="1" x14ac:dyDescent="0.3">
      <c r="A3" s="32" t="s">
        <v>2</v>
      </c>
      <c r="B3" s="37" t="s">
        <v>33</v>
      </c>
      <c r="C3" s="54"/>
      <c r="D3" s="59">
        <v>45940</v>
      </c>
      <c r="E3" s="59"/>
    </row>
    <row r="4" spans="1:231" ht="30" customHeight="1" x14ac:dyDescent="0.3">
      <c r="A4" s="33" t="s">
        <v>3</v>
      </c>
      <c r="C4" s="54"/>
      <c r="D4" s="55">
        <v>1</v>
      </c>
      <c r="H4" s="56">
        <f>H5</f>
        <v>45936</v>
      </c>
      <c r="I4" s="57"/>
      <c r="J4" s="57"/>
      <c r="K4" s="57"/>
      <c r="L4" s="57"/>
      <c r="M4" s="57"/>
      <c r="N4" s="58"/>
      <c r="O4" s="56">
        <f>O5</f>
        <v>45943</v>
      </c>
      <c r="P4" s="57"/>
      <c r="Q4" s="57"/>
      <c r="R4" s="57"/>
      <c r="S4" s="57"/>
      <c r="T4" s="57"/>
      <c r="U4" s="58"/>
      <c r="V4" s="56">
        <f>V5</f>
        <v>45950</v>
      </c>
      <c r="W4" s="57"/>
      <c r="X4" s="57"/>
      <c r="Y4" s="57"/>
      <c r="Z4" s="57"/>
      <c r="AA4" s="57"/>
      <c r="AB4" s="58"/>
      <c r="AC4" s="56">
        <f>AC5</f>
        <v>45957</v>
      </c>
      <c r="AD4" s="57"/>
      <c r="AE4" s="57"/>
      <c r="AF4" s="57"/>
      <c r="AG4" s="57"/>
      <c r="AH4" s="57"/>
      <c r="AI4" s="58"/>
      <c r="AJ4" s="56">
        <f>AJ5</f>
        <v>45964</v>
      </c>
      <c r="AK4" s="57"/>
      <c r="AL4" s="57"/>
      <c r="AM4" s="57"/>
      <c r="AN4" s="57"/>
      <c r="AO4" s="57"/>
      <c r="AP4" s="58"/>
      <c r="AQ4" s="56">
        <f>AQ5</f>
        <v>45971</v>
      </c>
      <c r="AR4" s="57"/>
      <c r="AS4" s="57"/>
      <c r="AT4" s="57"/>
      <c r="AU4" s="57"/>
      <c r="AV4" s="57"/>
      <c r="AW4" s="58"/>
      <c r="AX4" s="56">
        <f>AX5</f>
        <v>45978</v>
      </c>
      <c r="AY4" s="57"/>
      <c r="AZ4" s="57"/>
      <c r="BA4" s="57"/>
      <c r="BB4" s="57"/>
      <c r="BC4" s="57"/>
      <c r="BD4" s="58"/>
      <c r="BE4" s="56">
        <f>BE5</f>
        <v>45985</v>
      </c>
      <c r="BF4" s="57"/>
      <c r="BG4" s="57"/>
      <c r="BH4" s="57"/>
      <c r="BI4" s="57"/>
      <c r="BJ4" s="57"/>
      <c r="BK4" s="58"/>
      <c r="BL4" s="56">
        <f>BL5</f>
        <v>45992</v>
      </c>
      <c r="BM4" s="57"/>
      <c r="BN4" s="57"/>
      <c r="BO4" s="57"/>
      <c r="BP4" s="57"/>
      <c r="BQ4" s="57"/>
      <c r="BR4" s="58"/>
      <c r="BS4" s="56">
        <f>BS5</f>
        <v>45999</v>
      </c>
      <c r="BT4" s="57"/>
      <c r="BU4" s="57"/>
      <c r="BV4" s="57"/>
      <c r="BW4" s="57"/>
      <c r="BX4" s="57"/>
      <c r="BY4" s="58"/>
      <c r="BZ4" s="56">
        <f>BZ5</f>
        <v>46006</v>
      </c>
      <c r="CA4" s="57"/>
      <c r="CB4" s="57"/>
      <c r="CC4" s="57"/>
      <c r="CD4" s="57"/>
      <c r="CE4" s="57"/>
      <c r="CF4" s="58"/>
      <c r="CG4" s="56">
        <f t="shared" ref="CG4" si="0">CG5</f>
        <v>46013</v>
      </c>
      <c r="CH4" s="57"/>
      <c r="CI4" s="57"/>
      <c r="CJ4" s="57"/>
      <c r="CK4" s="57"/>
      <c r="CL4" s="57"/>
      <c r="CM4" s="58"/>
      <c r="CN4" s="56">
        <f t="shared" ref="CN4" si="1">CN5</f>
        <v>46020</v>
      </c>
      <c r="CO4" s="57"/>
      <c r="CP4" s="57"/>
      <c r="CQ4" s="57"/>
      <c r="CR4" s="57"/>
      <c r="CS4" s="57"/>
      <c r="CT4" s="58"/>
      <c r="CU4" s="56">
        <f t="shared" ref="CU4" si="2">CU5</f>
        <v>46027</v>
      </c>
      <c r="CV4" s="57"/>
      <c r="CW4" s="57"/>
      <c r="CX4" s="57"/>
      <c r="CY4" s="57"/>
      <c r="CZ4" s="57"/>
      <c r="DA4" s="58"/>
      <c r="DB4" s="56">
        <f t="shared" ref="DB4" si="3">DB5</f>
        <v>46034</v>
      </c>
      <c r="DC4" s="57"/>
      <c r="DD4" s="57"/>
      <c r="DE4" s="57"/>
      <c r="DF4" s="57"/>
      <c r="DG4" s="57"/>
      <c r="DH4" s="58"/>
      <c r="DI4" s="56">
        <f t="shared" ref="DI4" si="4">DI5</f>
        <v>46041</v>
      </c>
      <c r="DJ4" s="57"/>
      <c r="DK4" s="57"/>
      <c r="DL4" s="57"/>
      <c r="DM4" s="57"/>
      <c r="DN4" s="57"/>
      <c r="DO4" s="58"/>
      <c r="DP4" s="56">
        <f t="shared" ref="DP4" si="5">DP5</f>
        <v>46048</v>
      </c>
      <c r="DQ4" s="57"/>
      <c r="DR4" s="57"/>
      <c r="DS4" s="57"/>
      <c r="DT4" s="57"/>
      <c r="DU4" s="57"/>
      <c r="DV4" s="58"/>
      <c r="DW4" s="56">
        <f t="shared" ref="DW4" si="6">DW5</f>
        <v>46055</v>
      </c>
      <c r="DX4" s="57"/>
      <c r="DY4" s="57"/>
      <c r="DZ4" s="57"/>
      <c r="EA4" s="57"/>
      <c r="EB4" s="57"/>
      <c r="EC4" s="58"/>
      <c r="ED4" s="56">
        <f t="shared" ref="ED4" si="7">ED5</f>
        <v>46062</v>
      </c>
      <c r="EE4" s="57"/>
      <c r="EF4" s="57"/>
      <c r="EG4" s="57"/>
      <c r="EH4" s="57"/>
      <c r="EI4" s="57"/>
      <c r="EJ4" s="58"/>
      <c r="EK4" s="56">
        <f t="shared" ref="EK4" si="8">EK5</f>
        <v>46069</v>
      </c>
      <c r="EL4" s="57"/>
      <c r="EM4" s="57"/>
      <c r="EN4" s="57"/>
      <c r="EO4" s="57"/>
      <c r="EP4" s="57"/>
      <c r="EQ4" s="58"/>
      <c r="ER4" s="56">
        <f t="shared" ref="ER4" si="9">ER5</f>
        <v>46076</v>
      </c>
      <c r="ES4" s="57"/>
      <c r="ET4" s="57"/>
      <c r="EU4" s="57"/>
      <c r="EV4" s="57"/>
      <c r="EW4" s="57"/>
      <c r="EX4" s="58"/>
      <c r="EY4" s="56">
        <f t="shared" ref="EY4" si="10">EY5</f>
        <v>46083</v>
      </c>
      <c r="EZ4" s="57"/>
      <c r="FA4" s="57"/>
      <c r="FB4" s="57"/>
      <c r="FC4" s="57"/>
      <c r="FD4" s="57"/>
      <c r="FE4" s="58"/>
      <c r="FF4" s="56">
        <f t="shared" ref="FF4" si="11">FF5</f>
        <v>46090</v>
      </c>
      <c r="FG4" s="57"/>
      <c r="FH4" s="57"/>
      <c r="FI4" s="57"/>
      <c r="FJ4" s="57"/>
      <c r="FK4" s="57"/>
      <c r="FL4" s="58"/>
      <c r="FM4" s="56">
        <f t="shared" ref="FM4" si="12">FM5</f>
        <v>46097</v>
      </c>
      <c r="FN4" s="57"/>
      <c r="FO4" s="57"/>
      <c r="FP4" s="57"/>
      <c r="FQ4" s="57"/>
      <c r="FR4" s="57"/>
      <c r="FS4" s="58"/>
      <c r="FT4" s="56">
        <f t="shared" ref="FT4" si="13">FT5</f>
        <v>46104</v>
      </c>
      <c r="FU4" s="57"/>
      <c r="FV4" s="57"/>
      <c r="FW4" s="57"/>
      <c r="FX4" s="57"/>
      <c r="FY4" s="57"/>
      <c r="FZ4" s="58"/>
      <c r="GA4" s="56">
        <f t="shared" ref="GA4" si="14">GA5</f>
        <v>46111</v>
      </c>
      <c r="GB4" s="57"/>
      <c r="GC4" s="57"/>
      <c r="GD4" s="57"/>
      <c r="GE4" s="57"/>
      <c r="GF4" s="57"/>
      <c r="GG4" s="58"/>
      <c r="GH4" s="56">
        <f t="shared" ref="GH4" si="15">GH5</f>
        <v>46118</v>
      </c>
      <c r="GI4" s="57"/>
      <c r="GJ4" s="57"/>
      <c r="GK4" s="57"/>
      <c r="GL4" s="57"/>
      <c r="GM4" s="57"/>
      <c r="GN4" s="58"/>
      <c r="GO4" s="56">
        <f t="shared" ref="GO4" si="16">GO5</f>
        <v>46125</v>
      </c>
      <c r="GP4" s="57"/>
      <c r="GQ4" s="57"/>
      <c r="GR4" s="57"/>
      <c r="GS4" s="57"/>
      <c r="GT4" s="57"/>
      <c r="GU4" s="58"/>
      <c r="GV4" s="56">
        <f t="shared" ref="GV4" si="17">GV5</f>
        <v>46132</v>
      </c>
      <c r="GW4" s="57"/>
      <c r="GX4" s="57"/>
      <c r="GY4" s="57"/>
      <c r="GZ4" s="57"/>
      <c r="HA4" s="57"/>
      <c r="HB4" s="58"/>
      <c r="HC4" s="56">
        <f t="shared" ref="HC4" si="18">HC5</f>
        <v>46139</v>
      </c>
      <c r="HD4" s="57"/>
      <c r="HE4" s="57"/>
      <c r="HF4" s="57"/>
      <c r="HG4" s="57"/>
      <c r="HH4" s="57"/>
      <c r="HI4" s="58"/>
      <c r="HJ4" s="56">
        <f t="shared" ref="HJ4" si="19">HJ5</f>
        <v>46146</v>
      </c>
      <c r="HK4" s="57"/>
      <c r="HL4" s="57"/>
      <c r="HM4" s="57"/>
      <c r="HN4" s="57"/>
      <c r="HO4" s="57"/>
      <c r="HP4" s="58"/>
      <c r="HQ4" s="56">
        <f t="shared" ref="HQ4" si="20">HQ5</f>
        <v>46153</v>
      </c>
      <c r="HR4" s="57"/>
      <c r="HS4" s="57"/>
      <c r="HT4" s="57"/>
      <c r="HU4" s="57"/>
      <c r="HV4" s="57"/>
      <c r="HW4" s="58"/>
    </row>
    <row r="5" spans="1:231" ht="15" customHeight="1" x14ac:dyDescent="0.3">
      <c r="A5" s="33" t="s">
        <v>4</v>
      </c>
      <c r="B5" s="43"/>
      <c r="C5" s="43"/>
      <c r="D5" s="43"/>
      <c r="E5" s="43"/>
      <c r="F5" s="43"/>
      <c r="H5" s="51">
        <f>Project_Start-WEEKDAY(Project_Start,1)+2+7*(Display_Week-1)</f>
        <v>45936</v>
      </c>
      <c r="I5" s="52">
        <f>H5+1</f>
        <v>45937</v>
      </c>
      <c r="J5" s="52">
        <f t="shared" ref="J5:AW5" si="21">I5+1</f>
        <v>45938</v>
      </c>
      <c r="K5" s="52">
        <f t="shared" si="21"/>
        <v>45939</v>
      </c>
      <c r="L5" s="52">
        <f t="shared" si="21"/>
        <v>45940</v>
      </c>
      <c r="M5" s="52">
        <f t="shared" si="21"/>
        <v>45941</v>
      </c>
      <c r="N5" s="53">
        <f t="shared" si="21"/>
        <v>45942</v>
      </c>
      <c r="O5" s="51">
        <f>N5+1</f>
        <v>45943</v>
      </c>
      <c r="P5" s="52">
        <f>O5+1</f>
        <v>45944</v>
      </c>
      <c r="Q5" s="52">
        <f t="shared" si="21"/>
        <v>45945</v>
      </c>
      <c r="R5" s="52">
        <f t="shared" si="21"/>
        <v>45946</v>
      </c>
      <c r="S5" s="52">
        <f t="shared" si="21"/>
        <v>45947</v>
      </c>
      <c r="T5" s="52">
        <f t="shared" si="21"/>
        <v>45948</v>
      </c>
      <c r="U5" s="53">
        <f t="shared" si="21"/>
        <v>45949</v>
      </c>
      <c r="V5" s="51">
        <f>U5+1</f>
        <v>45950</v>
      </c>
      <c r="W5" s="52">
        <f>V5+1</f>
        <v>45951</v>
      </c>
      <c r="X5" s="52">
        <f t="shared" si="21"/>
        <v>45952</v>
      </c>
      <c r="Y5" s="52">
        <f t="shared" si="21"/>
        <v>45953</v>
      </c>
      <c r="Z5" s="52">
        <f t="shared" si="21"/>
        <v>45954</v>
      </c>
      <c r="AA5" s="52">
        <f t="shared" si="21"/>
        <v>45955</v>
      </c>
      <c r="AB5" s="53">
        <f t="shared" si="21"/>
        <v>45956</v>
      </c>
      <c r="AC5" s="51">
        <f>AB5+1</f>
        <v>45957</v>
      </c>
      <c r="AD5" s="52">
        <f>AC5+1</f>
        <v>45958</v>
      </c>
      <c r="AE5" s="52">
        <f t="shared" si="21"/>
        <v>45959</v>
      </c>
      <c r="AF5" s="52">
        <f t="shared" si="21"/>
        <v>45960</v>
      </c>
      <c r="AG5" s="52">
        <f t="shared" si="21"/>
        <v>45961</v>
      </c>
      <c r="AH5" s="52">
        <f t="shared" si="21"/>
        <v>45962</v>
      </c>
      <c r="AI5" s="53">
        <f t="shared" si="21"/>
        <v>45963</v>
      </c>
      <c r="AJ5" s="51">
        <f>AI5+1</f>
        <v>45964</v>
      </c>
      <c r="AK5" s="52">
        <f>AJ5+1</f>
        <v>45965</v>
      </c>
      <c r="AL5" s="52">
        <f t="shared" si="21"/>
        <v>45966</v>
      </c>
      <c r="AM5" s="52">
        <f t="shared" si="21"/>
        <v>45967</v>
      </c>
      <c r="AN5" s="52">
        <f t="shared" si="21"/>
        <v>45968</v>
      </c>
      <c r="AO5" s="52">
        <f t="shared" si="21"/>
        <v>45969</v>
      </c>
      <c r="AP5" s="53">
        <f t="shared" si="21"/>
        <v>45970</v>
      </c>
      <c r="AQ5" s="51">
        <f>AP5+1</f>
        <v>45971</v>
      </c>
      <c r="AR5" s="52">
        <f>AQ5+1</f>
        <v>45972</v>
      </c>
      <c r="AS5" s="52">
        <f t="shared" si="21"/>
        <v>45973</v>
      </c>
      <c r="AT5" s="52">
        <f t="shared" si="21"/>
        <v>45974</v>
      </c>
      <c r="AU5" s="52">
        <f t="shared" si="21"/>
        <v>45975</v>
      </c>
      <c r="AV5" s="52">
        <f t="shared" si="21"/>
        <v>45976</v>
      </c>
      <c r="AW5" s="53">
        <f t="shared" si="21"/>
        <v>45977</v>
      </c>
      <c r="AX5" s="51">
        <f>AW5+1</f>
        <v>45978</v>
      </c>
      <c r="AY5" s="52">
        <f>AX5+1</f>
        <v>45979</v>
      </c>
      <c r="AZ5" s="52">
        <f t="shared" ref="AZ5:BD5" si="22">AY5+1</f>
        <v>45980</v>
      </c>
      <c r="BA5" s="52">
        <f t="shared" si="22"/>
        <v>45981</v>
      </c>
      <c r="BB5" s="52">
        <f t="shared" si="22"/>
        <v>45982</v>
      </c>
      <c r="BC5" s="52">
        <f t="shared" si="22"/>
        <v>45983</v>
      </c>
      <c r="BD5" s="53">
        <f t="shared" si="22"/>
        <v>45984</v>
      </c>
      <c r="BE5" s="51">
        <f>BD5+1</f>
        <v>45985</v>
      </c>
      <c r="BF5" s="52">
        <f>BE5+1</f>
        <v>45986</v>
      </c>
      <c r="BG5" s="52">
        <f t="shared" ref="BG5:BK5" si="23">BF5+1</f>
        <v>45987</v>
      </c>
      <c r="BH5" s="52">
        <f t="shared" si="23"/>
        <v>45988</v>
      </c>
      <c r="BI5" s="52">
        <f t="shared" si="23"/>
        <v>45989</v>
      </c>
      <c r="BJ5" s="52">
        <f t="shared" si="23"/>
        <v>45990</v>
      </c>
      <c r="BK5" s="53">
        <f t="shared" si="23"/>
        <v>45991</v>
      </c>
      <c r="BL5" s="51">
        <f>BK5+1</f>
        <v>45992</v>
      </c>
      <c r="BM5" s="52">
        <f>BL5+1</f>
        <v>45993</v>
      </c>
      <c r="BN5" s="52">
        <f t="shared" ref="BN5" si="24">BM5+1</f>
        <v>45994</v>
      </c>
      <c r="BO5" s="52">
        <f t="shared" ref="BO5" si="25">BN5+1</f>
        <v>45995</v>
      </c>
      <c r="BP5" s="52">
        <f t="shared" ref="BP5" si="26">BO5+1</f>
        <v>45996</v>
      </c>
      <c r="BQ5" s="52">
        <f t="shared" ref="BQ5" si="27">BP5+1</f>
        <v>45997</v>
      </c>
      <c r="BR5" s="53">
        <f t="shared" ref="BR5" si="28">BQ5+1</f>
        <v>45998</v>
      </c>
      <c r="BS5" s="51">
        <f>BR5+1</f>
        <v>45999</v>
      </c>
      <c r="BT5" s="52">
        <f>BS5+1</f>
        <v>46000</v>
      </c>
      <c r="BU5" s="52">
        <f t="shared" ref="BU5" si="29">BT5+1</f>
        <v>46001</v>
      </c>
      <c r="BV5" s="52">
        <f t="shared" ref="BV5" si="30">BU5+1</f>
        <v>46002</v>
      </c>
      <c r="BW5" s="52">
        <f t="shared" ref="BW5" si="31">BV5+1</f>
        <v>46003</v>
      </c>
      <c r="BX5" s="52">
        <f t="shared" ref="BX5" si="32">BW5+1</f>
        <v>46004</v>
      </c>
      <c r="BY5" s="53">
        <f t="shared" ref="BY5" si="33">BX5+1</f>
        <v>46005</v>
      </c>
      <c r="BZ5" s="51">
        <f>BY5+1</f>
        <v>46006</v>
      </c>
      <c r="CA5" s="52">
        <f>BZ5+1</f>
        <v>46007</v>
      </c>
      <c r="CB5" s="52">
        <f t="shared" ref="CB5" si="34">CA5+1</f>
        <v>46008</v>
      </c>
      <c r="CC5" s="52">
        <f t="shared" ref="CC5" si="35">CB5+1</f>
        <v>46009</v>
      </c>
      <c r="CD5" s="52">
        <f t="shared" ref="CD5" si="36">CC5+1</f>
        <v>46010</v>
      </c>
      <c r="CE5" s="52">
        <f t="shared" ref="CE5" si="37">CD5+1</f>
        <v>46011</v>
      </c>
      <c r="CF5" s="53">
        <f t="shared" ref="CF5:CH5" si="38">CE5+1</f>
        <v>46012</v>
      </c>
      <c r="CG5" s="51">
        <f t="shared" si="38"/>
        <v>46013</v>
      </c>
      <c r="CH5" s="52">
        <f t="shared" si="38"/>
        <v>46014</v>
      </c>
      <c r="CI5" s="52">
        <f t="shared" ref="CI5" si="39">CH5+1</f>
        <v>46015</v>
      </c>
      <c r="CJ5" s="52">
        <f t="shared" ref="CJ5" si="40">CI5+1</f>
        <v>46016</v>
      </c>
      <c r="CK5" s="52">
        <f t="shared" ref="CK5" si="41">CJ5+1</f>
        <v>46017</v>
      </c>
      <c r="CL5" s="52">
        <f t="shared" ref="CL5" si="42">CK5+1</f>
        <v>46018</v>
      </c>
      <c r="CM5" s="53">
        <f t="shared" ref="CM5:CO5" si="43">CL5+1</f>
        <v>46019</v>
      </c>
      <c r="CN5" s="51">
        <f t="shared" si="43"/>
        <v>46020</v>
      </c>
      <c r="CO5" s="52">
        <f t="shared" si="43"/>
        <v>46021</v>
      </c>
      <c r="CP5" s="52">
        <f t="shared" ref="CP5" si="44">CO5+1</f>
        <v>46022</v>
      </c>
      <c r="CQ5" s="52">
        <f t="shared" ref="CQ5" si="45">CP5+1</f>
        <v>46023</v>
      </c>
      <c r="CR5" s="52">
        <f t="shared" ref="CR5" si="46">CQ5+1</f>
        <v>46024</v>
      </c>
      <c r="CS5" s="52">
        <f t="shared" ref="CS5" si="47">CR5+1</f>
        <v>46025</v>
      </c>
      <c r="CT5" s="53">
        <f t="shared" ref="CT5:CV5" si="48">CS5+1</f>
        <v>46026</v>
      </c>
      <c r="CU5" s="51">
        <f t="shared" si="48"/>
        <v>46027</v>
      </c>
      <c r="CV5" s="52">
        <f t="shared" si="48"/>
        <v>46028</v>
      </c>
      <c r="CW5" s="52">
        <f t="shared" ref="CW5" si="49">CV5+1</f>
        <v>46029</v>
      </c>
      <c r="CX5" s="52">
        <f t="shared" ref="CX5" si="50">CW5+1</f>
        <v>46030</v>
      </c>
      <c r="CY5" s="52">
        <f t="shared" ref="CY5" si="51">CX5+1</f>
        <v>46031</v>
      </c>
      <c r="CZ5" s="52">
        <f t="shared" ref="CZ5" si="52">CY5+1</f>
        <v>46032</v>
      </c>
      <c r="DA5" s="53">
        <f t="shared" ref="DA5:DC5" si="53">CZ5+1</f>
        <v>46033</v>
      </c>
      <c r="DB5" s="51">
        <f t="shared" si="53"/>
        <v>46034</v>
      </c>
      <c r="DC5" s="52">
        <f t="shared" si="53"/>
        <v>46035</v>
      </c>
      <c r="DD5" s="52">
        <f t="shared" ref="DD5" si="54">DC5+1</f>
        <v>46036</v>
      </c>
      <c r="DE5" s="52">
        <f t="shared" ref="DE5" si="55">DD5+1</f>
        <v>46037</v>
      </c>
      <c r="DF5" s="52">
        <f t="shared" ref="DF5" si="56">DE5+1</f>
        <v>46038</v>
      </c>
      <c r="DG5" s="52">
        <f t="shared" ref="DG5" si="57">DF5+1</f>
        <v>46039</v>
      </c>
      <c r="DH5" s="53">
        <f t="shared" ref="DH5:DJ5" si="58">DG5+1</f>
        <v>46040</v>
      </c>
      <c r="DI5" s="51">
        <f t="shared" si="58"/>
        <v>46041</v>
      </c>
      <c r="DJ5" s="52">
        <f t="shared" si="58"/>
        <v>46042</v>
      </c>
      <c r="DK5" s="52">
        <f t="shared" ref="DK5" si="59">DJ5+1</f>
        <v>46043</v>
      </c>
      <c r="DL5" s="52">
        <f t="shared" ref="DL5" si="60">DK5+1</f>
        <v>46044</v>
      </c>
      <c r="DM5" s="52">
        <f t="shared" ref="DM5" si="61">DL5+1</f>
        <v>46045</v>
      </c>
      <c r="DN5" s="52">
        <f t="shared" ref="DN5" si="62">DM5+1</f>
        <v>46046</v>
      </c>
      <c r="DO5" s="53">
        <f t="shared" ref="DO5:DQ5" si="63">DN5+1</f>
        <v>46047</v>
      </c>
      <c r="DP5" s="51">
        <f t="shared" si="63"/>
        <v>46048</v>
      </c>
      <c r="DQ5" s="52">
        <f t="shared" si="63"/>
        <v>46049</v>
      </c>
      <c r="DR5" s="52">
        <f t="shared" ref="DR5" si="64">DQ5+1</f>
        <v>46050</v>
      </c>
      <c r="DS5" s="52">
        <f t="shared" ref="DS5" si="65">DR5+1</f>
        <v>46051</v>
      </c>
      <c r="DT5" s="52">
        <f t="shared" ref="DT5" si="66">DS5+1</f>
        <v>46052</v>
      </c>
      <c r="DU5" s="52">
        <f t="shared" ref="DU5" si="67">DT5+1</f>
        <v>46053</v>
      </c>
      <c r="DV5" s="53">
        <f t="shared" ref="DV5:DX5" si="68">DU5+1</f>
        <v>46054</v>
      </c>
      <c r="DW5" s="51">
        <f t="shared" si="68"/>
        <v>46055</v>
      </c>
      <c r="DX5" s="52">
        <f t="shared" si="68"/>
        <v>46056</v>
      </c>
      <c r="DY5" s="52">
        <f t="shared" ref="DY5" si="69">DX5+1</f>
        <v>46057</v>
      </c>
      <c r="DZ5" s="52">
        <f t="shared" ref="DZ5" si="70">DY5+1</f>
        <v>46058</v>
      </c>
      <c r="EA5" s="52">
        <f t="shared" ref="EA5" si="71">DZ5+1</f>
        <v>46059</v>
      </c>
      <c r="EB5" s="52">
        <f t="shared" ref="EB5" si="72">EA5+1</f>
        <v>46060</v>
      </c>
      <c r="EC5" s="53">
        <f t="shared" ref="EC5:EE5" si="73">EB5+1</f>
        <v>46061</v>
      </c>
      <c r="ED5" s="51">
        <f t="shared" si="73"/>
        <v>46062</v>
      </c>
      <c r="EE5" s="52">
        <f t="shared" si="73"/>
        <v>46063</v>
      </c>
      <c r="EF5" s="52">
        <f t="shared" ref="EF5" si="74">EE5+1</f>
        <v>46064</v>
      </c>
      <c r="EG5" s="52">
        <f t="shared" ref="EG5" si="75">EF5+1</f>
        <v>46065</v>
      </c>
      <c r="EH5" s="52">
        <f t="shared" ref="EH5" si="76">EG5+1</f>
        <v>46066</v>
      </c>
      <c r="EI5" s="52">
        <f t="shared" ref="EI5" si="77">EH5+1</f>
        <v>46067</v>
      </c>
      <c r="EJ5" s="53">
        <f t="shared" ref="EJ5:EL5" si="78">EI5+1</f>
        <v>46068</v>
      </c>
      <c r="EK5" s="51">
        <f t="shared" si="78"/>
        <v>46069</v>
      </c>
      <c r="EL5" s="52">
        <f t="shared" si="78"/>
        <v>46070</v>
      </c>
      <c r="EM5" s="52">
        <f t="shared" ref="EM5" si="79">EL5+1</f>
        <v>46071</v>
      </c>
      <c r="EN5" s="52">
        <f t="shared" ref="EN5" si="80">EM5+1</f>
        <v>46072</v>
      </c>
      <c r="EO5" s="52">
        <f t="shared" ref="EO5" si="81">EN5+1</f>
        <v>46073</v>
      </c>
      <c r="EP5" s="52">
        <f t="shared" ref="EP5" si="82">EO5+1</f>
        <v>46074</v>
      </c>
      <c r="EQ5" s="53">
        <f t="shared" ref="EQ5:ES5" si="83">EP5+1</f>
        <v>46075</v>
      </c>
      <c r="ER5" s="51">
        <f t="shared" si="83"/>
        <v>46076</v>
      </c>
      <c r="ES5" s="52">
        <f t="shared" si="83"/>
        <v>46077</v>
      </c>
      <c r="ET5" s="52">
        <f t="shared" ref="ET5" si="84">ES5+1</f>
        <v>46078</v>
      </c>
      <c r="EU5" s="52">
        <f t="shared" ref="EU5" si="85">ET5+1</f>
        <v>46079</v>
      </c>
      <c r="EV5" s="52">
        <f t="shared" ref="EV5" si="86">EU5+1</f>
        <v>46080</v>
      </c>
      <c r="EW5" s="52">
        <f t="shared" ref="EW5" si="87">EV5+1</f>
        <v>46081</v>
      </c>
      <c r="EX5" s="53">
        <f t="shared" ref="EX5:EZ5" si="88">EW5+1</f>
        <v>46082</v>
      </c>
      <c r="EY5" s="51">
        <f t="shared" si="88"/>
        <v>46083</v>
      </c>
      <c r="EZ5" s="52">
        <f t="shared" si="88"/>
        <v>46084</v>
      </c>
      <c r="FA5" s="52">
        <f t="shared" ref="FA5" si="89">EZ5+1</f>
        <v>46085</v>
      </c>
      <c r="FB5" s="52">
        <f t="shared" ref="FB5" si="90">FA5+1</f>
        <v>46086</v>
      </c>
      <c r="FC5" s="52">
        <f t="shared" ref="FC5" si="91">FB5+1</f>
        <v>46087</v>
      </c>
      <c r="FD5" s="52">
        <f t="shared" ref="FD5" si="92">FC5+1</f>
        <v>46088</v>
      </c>
      <c r="FE5" s="53">
        <f t="shared" ref="FE5:FG5" si="93">FD5+1</f>
        <v>46089</v>
      </c>
      <c r="FF5" s="51">
        <f t="shared" si="93"/>
        <v>46090</v>
      </c>
      <c r="FG5" s="52">
        <f t="shared" si="93"/>
        <v>46091</v>
      </c>
      <c r="FH5" s="52">
        <f t="shared" ref="FH5" si="94">FG5+1</f>
        <v>46092</v>
      </c>
      <c r="FI5" s="52">
        <f t="shared" ref="FI5" si="95">FH5+1</f>
        <v>46093</v>
      </c>
      <c r="FJ5" s="52">
        <f t="shared" ref="FJ5" si="96">FI5+1</f>
        <v>46094</v>
      </c>
      <c r="FK5" s="52">
        <f t="shared" ref="FK5" si="97">FJ5+1</f>
        <v>46095</v>
      </c>
      <c r="FL5" s="53">
        <f t="shared" ref="FL5:FN5" si="98">FK5+1</f>
        <v>46096</v>
      </c>
      <c r="FM5" s="51">
        <f t="shared" si="98"/>
        <v>46097</v>
      </c>
      <c r="FN5" s="52">
        <f t="shared" si="98"/>
        <v>46098</v>
      </c>
      <c r="FO5" s="52">
        <f t="shared" ref="FO5" si="99">FN5+1</f>
        <v>46099</v>
      </c>
      <c r="FP5" s="52">
        <f t="shared" ref="FP5" si="100">FO5+1</f>
        <v>46100</v>
      </c>
      <c r="FQ5" s="52">
        <f t="shared" ref="FQ5" si="101">FP5+1</f>
        <v>46101</v>
      </c>
      <c r="FR5" s="52">
        <f t="shared" ref="FR5" si="102">FQ5+1</f>
        <v>46102</v>
      </c>
      <c r="FS5" s="53">
        <f t="shared" ref="FS5:FU5" si="103">FR5+1</f>
        <v>46103</v>
      </c>
      <c r="FT5" s="51">
        <f t="shared" si="103"/>
        <v>46104</v>
      </c>
      <c r="FU5" s="52">
        <f t="shared" si="103"/>
        <v>46105</v>
      </c>
      <c r="FV5" s="52">
        <f t="shared" ref="FV5" si="104">FU5+1</f>
        <v>46106</v>
      </c>
      <c r="FW5" s="52">
        <f t="shared" ref="FW5" si="105">FV5+1</f>
        <v>46107</v>
      </c>
      <c r="FX5" s="52">
        <f t="shared" ref="FX5" si="106">FW5+1</f>
        <v>46108</v>
      </c>
      <c r="FY5" s="52">
        <f t="shared" ref="FY5" si="107">FX5+1</f>
        <v>46109</v>
      </c>
      <c r="FZ5" s="53">
        <f t="shared" ref="FZ5:GB5" si="108">FY5+1</f>
        <v>46110</v>
      </c>
      <c r="GA5" s="51">
        <f t="shared" si="108"/>
        <v>46111</v>
      </c>
      <c r="GB5" s="52">
        <f t="shared" si="108"/>
        <v>46112</v>
      </c>
      <c r="GC5" s="52">
        <f t="shared" ref="GC5" si="109">GB5+1</f>
        <v>46113</v>
      </c>
      <c r="GD5" s="52">
        <f t="shared" ref="GD5" si="110">GC5+1</f>
        <v>46114</v>
      </c>
      <c r="GE5" s="52">
        <f t="shared" ref="GE5" si="111">GD5+1</f>
        <v>46115</v>
      </c>
      <c r="GF5" s="52">
        <f t="shared" ref="GF5" si="112">GE5+1</f>
        <v>46116</v>
      </c>
      <c r="GG5" s="53">
        <f t="shared" ref="GG5" si="113">GF5+1</f>
        <v>46117</v>
      </c>
      <c r="GH5" s="51">
        <f t="shared" ref="GH5" si="114">GG5+1</f>
        <v>46118</v>
      </c>
      <c r="GI5" s="52">
        <f t="shared" ref="GI5" si="115">GH5+1</f>
        <v>46119</v>
      </c>
      <c r="GJ5" s="52">
        <f t="shared" ref="GJ5" si="116">GI5+1</f>
        <v>46120</v>
      </c>
      <c r="GK5" s="52">
        <f t="shared" ref="GK5" si="117">GJ5+1</f>
        <v>46121</v>
      </c>
      <c r="GL5" s="52">
        <f t="shared" ref="GL5" si="118">GK5+1</f>
        <v>46122</v>
      </c>
      <c r="GM5" s="52">
        <f t="shared" ref="GM5" si="119">GL5+1</f>
        <v>46123</v>
      </c>
      <c r="GN5" s="53">
        <f t="shared" ref="GN5" si="120">GM5+1</f>
        <v>46124</v>
      </c>
      <c r="GO5" s="51">
        <f t="shared" ref="GO5" si="121">GN5+1</f>
        <v>46125</v>
      </c>
      <c r="GP5" s="52">
        <f t="shared" ref="GP5" si="122">GO5+1</f>
        <v>46126</v>
      </c>
      <c r="GQ5" s="52">
        <f t="shared" ref="GQ5" si="123">GP5+1</f>
        <v>46127</v>
      </c>
      <c r="GR5" s="52">
        <f t="shared" ref="GR5" si="124">GQ5+1</f>
        <v>46128</v>
      </c>
      <c r="GS5" s="52">
        <f t="shared" ref="GS5" si="125">GR5+1</f>
        <v>46129</v>
      </c>
      <c r="GT5" s="52">
        <f t="shared" ref="GT5" si="126">GS5+1</f>
        <v>46130</v>
      </c>
      <c r="GU5" s="53">
        <f t="shared" ref="GU5" si="127">GT5+1</f>
        <v>46131</v>
      </c>
      <c r="GV5" s="51">
        <f t="shared" ref="GV5" si="128">GU5+1</f>
        <v>46132</v>
      </c>
      <c r="GW5" s="52">
        <f t="shared" ref="GW5" si="129">GV5+1</f>
        <v>46133</v>
      </c>
      <c r="GX5" s="52">
        <f t="shared" ref="GX5" si="130">GW5+1</f>
        <v>46134</v>
      </c>
      <c r="GY5" s="52">
        <f t="shared" ref="GY5" si="131">GX5+1</f>
        <v>46135</v>
      </c>
      <c r="GZ5" s="52">
        <f t="shared" ref="GZ5" si="132">GY5+1</f>
        <v>46136</v>
      </c>
      <c r="HA5" s="52">
        <f t="shared" ref="HA5" si="133">GZ5+1</f>
        <v>46137</v>
      </c>
      <c r="HB5" s="53">
        <f t="shared" ref="HB5" si="134">HA5+1</f>
        <v>46138</v>
      </c>
      <c r="HC5" s="51">
        <f t="shared" ref="HC5" si="135">HB5+1</f>
        <v>46139</v>
      </c>
      <c r="HD5" s="52">
        <f t="shared" ref="HD5" si="136">HC5+1</f>
        <v>46140</v>
      </c>
      <c r="HE5" s="52">
        <f t="shared" ref="HE5" si="137">HD5+1</f>
        <v>46141</v>
      </c>
      <c r="HF5" s="52">
        <f t="shared" ref="HF5" si="138">HE5+1</f>
        <v>46142</v>
      </c>
      <c r="HG5" s="52">
        <f t="shared" ref="HG5" si="139">HF5+1</f>
        <v>46143</v>
      </c>
      <c r="HH5" s="52">
        <f t="shared" ref="HH5" si="140">HG5+1</f>
        <v>46144</v>
      </c>
      <c r="HI5" s="53">
        <f t="shared" ref="HI5" si="141">HH5+1</f>
        <v>46145</v>
      </c>
      <c r="HJ5" s="51">
        <f t="shared" ref="HJ5" si="142">HI5+1</f>
        <v>46146</v>
      </c>
      <c r="HK5" s="52">
        <f t="shared" ref="HK5" si="143">HJ5+1</f>
        <v>46147</v>
      </c>
      <c r="HL5" s="52">
        <f t="shared" ref="HL5" si="144">HK5+1</f>
        <v>46148</v>
      </c>
      <c r="HM5" s="52">
        <f t="shared" ref="HM5" si="145">HL5+1</f>
        <v>46149</v>
      </c>
      <c r="HN5" s="52">
        <f t="shared" ref="HN5" si="146">HM5+1</f>
        <v>46150</v>
      </c>
      <c r="HO5" s="52">
        <f t="shared" ref="HO5" si="147">HN5+1</f>
        <v>46151</v>
      </c>
      <c r="HP5" s="53">
        <f t="shared" ref="HP5" si="148">HO5+1</f>
        <v>46152</v>
      </c>
      <c r="HQ5" s="51">
        <f t="shared" ref="HQ5" si="149">HP5+1</f>
        <v>46153</v>
      </c>
      <c r="HR5" s="52">
        <f t="shared" ref="HR5" si="150">HQ5+1</f>
        <v>46154</v>
      </c>
      <c r="HS5" s="52">
        <f t="shared" ref="HS5" si="151">HR5+1</f>
        <v>46155</v>
      </c>
      <c r="HT5" s="52">
        <f t="shared" ref="HT5" si="152">HS5+1</f>
        <v>46156</v>
      </c>
      <c r="HU5" s="52">
        <f t="shared" ref="HU5" si="153">HT5+1</f>
        <v>46157</v>
      </c>
      <c r="HV5" s="52">
        <f t="shared" ref="HV5" si="154">HU5+1</f>
        <v>46158</v>
      </c>
      <c r="HW5" s="53">
        <f t="shared" ref="HW5" si="155">HV5+1</f>
        <v>46159</v>
      </c>
    </row>
    <row r="6" spans="1:231" ht="30" customHeight="1" thickBot="1" x14ac:dyDescent="0.35">
      <c r="A6" s="33" t="s">
        <v>5</v>
      </c>
      <c r="B6" s="6" t="s">
        <v>10</v>
      </c>
      <c r="C6" s="7" t="s">
        <v>12</v>
      </c>
      <c r="D6" s="7" t="s">
        <v>13</v>
      </c>
      <c r="E6" s="7" t="s">
        <v>14</v>
      </c>
      <c r="F6" s="7"/>
      <c r="G6" s="7" t="s">
        <v>15</v>
      </c>
      <c r="H6" s="8" t="str">
        <f t="shared" ref="H6" si="156">LEFT(TEXT(H5,"ddd"),1)</f>
        <v>M</v>
      </c>
      <c r="I6" s="8" t="str">
        <f t="shared" ref="I6:AQ6" si="157">LEFT(TEXT(I5,"ddd"),1)</f>
        <v>T</v>
      </c>
      <c r="J6" s="8" t="str">
        <f t="shared" si="157"/>
        <v>W</v>
      </c>
      <c r="K6" s="8" t="str">
        <f t="shared" si="157"/>
        <v>T</v>
      </c>
      <c r="L6" s="8" t="str">
        <f t="shared" si="157"/>
        <v>F</v>
      </c>
      <c r="M6" s="8" t="str">
        <f t="shared" si="157"/>
        <v>S</v>
      </c>
      <c r="N6" s="8" t="str">
        <f t="shared" si="157"/>
        <v>S</v>
      </c>
      <c r="O6" s="8" t="str">
        <f t="shared" si="157"/>
        <v>M</v>
      </c>
      <c r="P6" s="8" t="str">
        <f t="shared" si="157"/>
        <v>T</v>
      </c>
      <c r="Q6" s="8" t="str">
        <f t="shared" si="157"/>
        <v>W</v>
      </c>
      <c r="R6" s="8" t="str">
        <f t="shared" si="157"/>
        <v>T</v>
      </c>
      <c r="S6" s="8" t="str">
        <f t="shared" si="157"/>
        <v>F</v>
      </c>
      <c r="T6" s="8" t="str">
        <f t="shared" si="157"/>
        <v>S</v>
      </c>
      <c r="U6" s="8" t="str">
        <f t="shared" si="157"/>
        <v>S</v>
      </c>
      <c r="V6" s="8" t="str">
        <f t="shared" si="157"/>
        <v>M</v>
      </c>
      <c r="W6" s="8" t="str">
        <f t="shared" si="157"/>
        <v>T</v>
      </c>
      <c r="X6" s="8" t="str">
        <f t="shared" si="157"/>
        <v>W</v>
      </c>
      <c r="Y6" s="8" t="str">
        <f t="shared" si="157"/>
        <v>T</v>
      </c>
      <c r="Z6" s="8" t="str">
        <f t="shared" si="157"/>
        <v>F</v>
      </c>
      <c r="AA6" s="8" t="str">
        <f t="shared" si="157"/>
        <v>S</v>
      </c>
      <c r="AB6" s="8" t="str">
        <f t="shared" si="157"/>
        <v>S</v>
      </c>
      <c r="AC6" s="8" t="str">
        <f t="shared" si="157"/>
        <v>M</v>
      </c>
      <c r="AD6" s="8" t="str">
        <f t="shared" si="157"/>
        <v>T</v>
      </c>
      <c r="AE6" s="8" t="str">
        <f t="shared" si="157"/>
        <v>W</v>
      </c>
      <c r="AF6" s="8" t="str">
        <f t="shared" si="157"/>
        <v>T</v>
      </c>
      <c r="AG6" s="8" t="str">
        <f t="shared" si="157"/>
        <v>F</v>
      </c>
      <c r="AH6" s="8" t="str">
        <f t="shared" si="157"/>
        <v>S</v>
      </c>
      <c r="AI6" s="8" t="str">
        <f t="shared" si="157"/>
        <v>S</v>
      </c>
      <c r="AJ6" s="8" t="str">
        <f t="shared" si="157"/>
        <v>M</v>
      </c>
      <c r="AK6" s="8" t="str">
        <f t="shared" si="157"/>
        <v>T</v>
      </c>
      <c r="AL6" s="8" t="str">
        <f t="shared" si="157"/>
        <v>W</v>
      </c>
      <c r="AM6" s="8" t="str">
        <f t="shared" si="157"/>
        <v>T</v>
      </c>
      <c r="AN6" s="8" t="str">
        <f t="shared" si="157"/>
        <v>F</v>
      </c>
      <c r="AO6" s="8" t="str">
        <f t="shared" si="157"/>
        <v>S</v>
      </c>
      <c r="AP6" s="8" t="str">
        <f t="shared" si="157"/>
        <v>S</v>
      </c>
      <c r="AQ6" s="8" t="str">
        <f t="shared" si="157"/>
        <v>M</v>
      </c>
      <c r="AR6" s="8" t="str">
        <f t="shared" ref="AR6:BL6" si="158">LEFT(TEXT(AR5,"ddd"),1)</f>
        <v>T</v>
      </c>
      <c r="AS6" s="8" t="str">
        <f t="shared" si="158"/>
        <v>W</v>
      </c>
      <c r="AT6" s="8" t="str">
        <f t="shared" si="158"/>
        <v>T</v>
      </c>
      <c r="AU6" s="8" t="str">
        <f t="shared" si="158"/>
        <v>F</v>
      </c>
      <c r="AV6" s="8" t="str">
        <f t="shared" si="158"/>
        <v>S</v>
      </c>
      <c r="AW6" s="8" t="str">
        <f t="shared" si="158"/>
        <v>S</v>
      </c>
      <c r="AX6" s="8" t="str">
        <f t="shared" si="158"/>
        <v>M</v>
      </c>
      <c r="AY6" s="8" t="str">
        <f t="shared" si="158"/>
        <v>T</v>
      </c>
      <c r="AZ6" s="8" t="str">
        <f t="shared" si="158"/>
        <v>W</v>
      </c>
      <c r="BA6" s="8" t="str">
        <f t="shared" si="158"/>
        <v>T</v>
      </c>
      <c r="BB6" s="8" t="str">
        <f t="shared" si="158"/>
        <v>F</v>
      </c>
      <c r="BC6" s="8" t="str">
        <f t="shared" si="158"/>
        <v>S</v>
      </c>
      <c r="BD6" s="8" t="str">
        <f t="shared" si="158"/>
        <v>S</v>
      </c>
      <c r="BE6" s="8" t="str">
        <f t="shared" si="158"/>
        <v>M</v>
      </c>
      <c r="BF6" s="8" t="str">
        <f t="shared" si="158"/>
        <v>T</v>
      </c>
      <c r="BG6" s="8" t="str">
        <f t="shared" si="158"/>
        <v>W</v>
      </c>
      <c r="BH6" s="8" t="str">
        <f t="shared" si="158"/>
        <v>T</v>
      </c>
      <c r="BI6" s="8" t="str">
        <f t="shared" si="158"/>
        <v>F</v>
      </c>
      <c r="BJ6" s="8" t="str">
        <f t="shared" si="158"/>
        <v>S</v>
      </c>
      <c r="BK6" s="8" t="str">
        <f t="shared" si="158"/>
        <v>S</v>
      </c>
      <c r="BL6" s="8" t="str">
        <f t="shared" si="158"/>
        <v>M</v>
      </c>
      <c r="BM6" s="8" t="str">
        <f t="shared" ref="BM6:CG6" si="159">LEFT(TEXT(BM5,"ddd"),1)</f>
        <v>T</v>
      </c>
      <c r="BN6" s="8" t="str">
        <f t="shared" si="159"/>
        <v>W</v>
      </c>
      <c r="BO6" s="8" t="str">
        <f t="shared" si="159"/>
        <v>T</v>
      </c>
      <c r="BP6" s="8" t="str">
        <f t="shared" si="159"/>
        <v>F</v>
      </c>
      <c r="BQ6" s="8" t="str">
        <f t="shared" si="159"/>
        <v>S</v>
      </c>
      <c r="BR6" s="8" t="str">
        <f t="shared" si="159"/>
        <v>S</v>
      </c>
      <c r="BS6" s="8" t="str">
        <f t="shared" si="159"/>
        <v>M</v>
      </c>
      <c r="BT6" s="8" t="str">
        <f t="shared" si="159"/>
        <v>T</v>
      </c>
      <c r="BU6" s="8" t="str">
        <f t="shared" si="159"/>
        <v>W</v>
      </c>
      <c r="BV6" s="8" t="str">
        <f t="shared" si="159"/>
        <v>T</v>
      </c>
      <c r="BW6" s="8" t="str">
        <f t="shared" si="159"/>
        <v>F</v>
      </c>
      <c r="BX6" s="8" t="str">
        <f t="shared" si="159"/>
        <v>S</v>
      </c>
      <c r="BY6" s="8" t="str">
        <f t="shared" si="159"/>
        <v>S</v>
      </c>
      <c r="BZ6" s="8" t="str">
        <f t="shared" si="159"/>
        <v>M</v>
      </c>
      <c r="CA6" s="8" t="str">
        <f t="shared" si="159"/>
        <v>T</v>
      </c>
      <c r="CB6" s="8" t="str">
        <f t="shared" si="159"/>
        <v>W</v>
      </c>
      <c r="CC6" s="8" t="str">
        <f t="shared" si="159"/>
        <v>T</v>
      </c>
      <c r="CD6" s="8" t="str">
        <f t="shared" si="159"/>
        <v>F</v>
      </c>
      <c r="CE6" s="8" t="str">
        <f t="shared" si="159"/>
        <v>S</v>
      </c>
      <c r="CF6" s="8" t="str">
        <f t="shared" si="159"/>
        <v>S</v>
      </c>
      <c r="CG6" s="8" t="str">
        <f t="shared" si="159"/>
        <v>M</v>
      </c>
      <c r="CH6" s="8" t="str">
        <f t="shared" ref="CH6:ES6" si="160">LEFT(TEXT(CH5,"ddd"),1)</f>
        <v>T</v>
      </c>
      <c r="CI6" s="8" t="str">
        <f t="shared" si="160"/>
        <v>W</v>
      </c>
      <c r="CJ6" s="8" t="str">
        <f t="shared" si="160"/>
        <v>T</v>
      </c>
      <c r="CK6" s="8" t="str">
        <f t="shared" si="160"/>
        <v>F</v>
      </c>
      <c r="CL6" s="8" t="str">
        <f t="shared" si="160"/>
        <v>S</v>
      </c>
      <c r="CM6" s="8" t="str">
        <f t="shared" si="160"/>
        <v>S</v>
      </c>
      <c r="CN6" s="8" t="str">
        <f t="shared" si="160"/>
        <v>M</v>
      </c>
      <c r="CO6" s="8" t="str">
        <f t="shared" si="160"/>
        <v>T</v>
      </c>
      <c r="CP6" s="8" t="str">
        <f t="shared" si="160"/>
        <v>W</v>
      </c>
      <c r="CQ6" s="8" t="str">
        <f t="shared" si="160"/>
        <v>T</v>
      </c>
      <c r="CR6" s="8" t="str">
        <f t="shared" si="160"/>
        <v>F</v>
      </c>
      <c r="CS6" s="8" t="str">
        <f t="shared" si="160"/>
        <v>S</v>
      </c>
      <c r="CT6" s="8" t="str">
        <f t="shared" si="160"/>
        <v>S</v>
      </c>
      <c r="CU6" s="8" t="str">
        <f t="shared" si="160"/>
        <v>M</v>
      </c>
      <c r="CV6" s="8" t="str">
        <f t="shared" si="160"/>
        <v>T</v>
      </c>
      <c r="CW6" s="8" t="str">
        <f t="shared" si="160"/>
        <v>W</v>
      </c>
      <c r="CX6" s="8" t="str">
        <f t="shared" si="160"/>
        <v>T</v>
      </c>
      <c r="CY6" s="8" t="str">
        <f t="shared" si="160"/>
        <v>F</v>
      </c>
      <c r="CZ6" s="8" t="str">
        <f t="shared" si="160"/>
        <v>S</v>
      </c>
      <c r="DA6" s="8" t="str">
        <f t="shared" si="160"/>
        <v>S</v>
      </c>
      <c r="DB6" s="8" t="str">
        <f t="shared" si="160"/>
        <v>M</v>
      </c>
      <c r="DC6" s="8" t="str">
        <f t="shared" si="160"/>
        <v>T</v>
      </c>
      <c r="DD6" s="8" t="str">
        <f t="shared" si="160"/>
        <v>W</v>
      </c>
      <c r="DE6" s="8" t="str">
        <f t="shared" si="160"/>
        <v>T</v>
      </c>
      <c r="DF6" s="8" t="str">
        <f t="shared" si="160"/>
        <v>F</v>
      </c>
      <c r="DG6" s="8" t="str">
        <f t="shared" si="160"/>
        <v>S</v>
      </c>
      <c r="DH6" s="8" t="str">
        <f t="shared" si="160"/>
        <v>S</v>
      </c>
      <c r="DI6" s="8" t="str">
        <f t="shared" si="160"/>
        <v>M</v>
      </c>
      <c r="DJ6" s="8" t="str">
        <f t="shared" si="160"/>
        <v>T</v>
      </c>
      <c r="DK6" s="8" t="str">
        <f t="shared" si="160"/>
        <v>W</v>
      </c>
      <c r="DL6" s="8" t="str">
        <f t="shared" si="160"/>
        <v>T</v>
      </c>
      <c r="DM6" s="8" t="str">
        <f t="shared" si="160"/>
        <v>F</v>
      </c>
      <c r="DN6" s="8" t="str">
        <f t="shared" si="160"/>
        <v>S</v>
      </c>
      <c r="DO6" s="8" t="str">
        <f t="shared" si="160"/>
        <v>S</v>
      </c>
      <c r="DP6" s="8" t="str">
        <f t="shared" si="160"/>
        <v>M</v>
      </c>
      <c r="DQ6" s="8" t="str">
        <f t="shared" si="160"/>
        <v>T</v>
      </c>
      <c r="DR6" s="8" t="str">
        <f t="shared" si="160"/>
        <v>W</v>
      </c>
      <c r="DS6" s="8" t="str">
        <f t="shared" si="160"/>
        <v>T</v>
      </c>
      <c r="DT6" s="8" t="str">
        <f t="shared" si="160"/>
        <v>F</v>
      </c>
      <c r="DU6" s="8" t="str">
        <f t="shared" si="160"/>
        <v>S</v>
      </c>
      <c r="DV6" s="8" t="str">
        <f t="shared" si="160"/>
        <v>S</v>
      </c>
      <c r="DW6" s="8" t="str">
        <f t="shared" si="160"/>
        <v>M</v>
      </c>
      <c r="DX6" s="8" t="str">
        <f t="shared" si="160"/>
        <v>T</v>
      </c>
      <c r="DY6" s="8" t="str">
        <f t="shared" si="160"/>
        <v>W</v>
      </c>
      <c r="DZ6" s="8" t="str">
        <f t="shared" si="160"/>
        <v>T</v>
      </c>
      <c r="EA6" s="8" t="str">
        <f t="shared" si="160"/>
        <v>F</v>
      </c>
      <c r="EB6" s="8" t="str">
        <f t="shared" si="160"/>
        <v>S</v>
      </c>
      <c r="EC6" s="8" t="str">
        <f t="shared" si="160"/>
        <v>S</v>
      </c>
      <c r="ED6" s="8" t="str">
        <f t="shared" si="160"/>
        <v>M</v>
      </c>
      <c r="EE6" s="8" t="str">
        <f t="shared" si="160"/>
        <v>T</v>
      </c>
      <c r="EF6" s="8" t="str">
        <f t="shared" si="160"/>
        <v>W</v>
      </c>
      <c r="EG6" s="8" t="str">
        <f t="shared" si="160"/>
        <v>T</v>
      </c>
      <c r="EH6" s="8" t="str">
        <f t="shared" si="160"/>
        <v>F</v>
      </c>
      <c r="EI6" s="8" t="str">
        <f t="shared" si="160"/>
        <v>S</v>
      </c>
      <c r="EJ6" s="8" t="str">
        <f t="shared" si="160"/>
        <v>S</v>
      </c>
      <c r="EK6" s="8" t="str">
        <f t="shared" si="160"/>
        <v>M</v>
      </c>
      <c r="EL6" s="8" t="str">
        <f t="shared" si="160"/>
        <v>T</v>
      </c>
      <c r="EM6" s="8" t="str">
        <f t="shared" si="160"/>
        <v>W</v>
      </c>
      <c r="EN6" s="8" t="str">
        <f t="shared" si="160"/>
        <v>T</v>
      </c>
      <c r="EO6" s="8" t="str">
        <f t="shared" si="160"/>
        <v>F</v>
      </c>
      <c r="EP6" s="8" t="str">
        <f t="shared" si="160"/>
        <v>S</v>
      </c>
      <c r="EQ6" s="8" t="str">
        <f t="shared" si="160"/>
        <v>S</v>
      </c>
      <c r="ER6" s="8" t="str">
        <f t="shared" si="160"/>
        <v>M</v>
      </c>
      <c r="ES6" s="8" t="str">
        <f t="shared" si="160"/>
        <v>T</v>
      </c>
      <c r="ET6" s="8" t="str">
        <f t="shared" ref="ET6:GG6" si="161">LEFT(TEXT(ET5,"ddd"),1)</f>
        <v>W</v>
      </c>
      <c r="EU6" s="8" t="str">
        <f t="shared" si="161"/>
        <v>T</v>
      </c>
      <c r="EV6" s="8" t="str">
        <f t="shared" si="161"/>
        <v>F</v>
      </c>
      <c r="EW6" s="8" t="str">
        <f t="shared" si="161"/>
        <v>S</v>
      </c>
      <c r="EX6" s="8" t="str">
        <f t="shared" si="161"/>
        <v>S</v>
      </c>
      <c r="EY6" s="8" t="str">
        <f t="shared" si="161"/>
        <v>M</v>
      </c>
      <c r="EZ6" s="8" t="str">
        <f t="shared" si="161"/>
        <v>T</v>
      </c>
      <c r="FA6" s="8" t="str">
        <f t="shared" si="161"/>
        <v>W</v>
      </c>
      <c r="FB6" s="8" t="str">
        <f t="shared" si="161"/>
        <v>T</v>
      </c>
      <c r="FC6" s="8" t="str">
        <f t="shared" si="161"/>
        <v>F</v>
      </c>
      <c r="FD6" s="8" t="str">
        <f t="shared" si="161"/>
        <v>S</v>
      </c>
      <c r="FE6" s="8" t="str">
        <f t="shared" si="161"/>
        <v>S</v>
      </c>
      <c r="FF6" s="8" t="str">
        <f t="shared" si="161"/>
        <v>M</v>
      </c>
      <c r="FG6" s="8" t="str">
        <f t="shared" si="161"/>
        <v>T</v>
      </c>
      <c r="FH6" s="8" t="str">
        <f t="shared" si="161"/>
        <v>W</v>
      </c>
      <c r="FI6" s="8" t="str">
        <f t="shared" si="161"/>
        <v>T</v>
      </c>
      <c r="FJ6" s="8" t="str">
        <f t="shared" si="161"/>
        <v>F</v>
      </c>
      <c r="FK6" s="8" t="str">
        <f t="shared" si="161"/>
        <v>S</v>
      </c>
      <c r="FL6" s="8" t="str">
        <f t="shared" si="161"/>
        <v>S</v>
      </c>
      <c r="FM6" s="8" t="str">
        <f t="shared" si="161"/>
        <v>M</v>
      </c>
      <c r="FN6" s="8" t="str">
        <f t="shared" si="161"/>
        <v>T</v>
      </c>
      <c r="FO6" s="8" t="str">
        <f t="shared" si="161"/>
        <v>W</v>
      </c>
      <c r="FP6" s="8" t="str">
        <f t="shared" si="161"/>
        <v>T</v>
      </c>
      <c r="FQ6" s="8" t="str">
        <f t="shared" si="161"/>
        <v>F</v>
      </c>
      <c r="FR6" s="8" t="str">
        <f t="shared" si="161"/>
        <v>S</v>
      </c>
      <c r="FS6" s="8" t="str">
        <f t="shared" si="161"/>
        <v>S</v>
      </c>
      <c r="FT6" s="8" t="str">
        <f t="shared" si="161"/>
        <v>M</v>
      </c>
      <c r="FU6" s="8" t="str">
        <f t="shared" si="161"/>
        <v>T</v>
      </c>
      <c r="FV6" s="8" t="str">
        <f t="shared" si="161"/>
        <v>W</v>
      </c>
      <c r="FW6" s="8" t="str">
        <f t="shared" si="161"/>
        <v>T</v>
      </c>
      <c r="FX6" s="8" t="str">
        <f t="shared" si="161"/>
        <v>F</v>
      </c>
      <c r="FY6" s="8" t="str">
        <f t="shared" si="161"/>
        <v>S</v>
      </c>
      <c r="FZ6" s="8" t="str">
        <f t="shared" si="161"/>
        <v>S</v>
      </c>
      <c r="GA6" s="8" t="str">
        <f t="shared" si="161"/>
        <v>M</v>
      </c>
      <c r="GB6" s="8" t="str">
        <f t="shared" si="161"/>
        <v>T</v>
      </c>
      <c r="GC6" s="8" t="str">
        <f t="shared" si="161"/>
        <v>W</v>
      </c>
      <c r="GD6" s="8" t="str">
        <f t="shared" si="161"/>
        <v>T</v>
      </c>
      <c r="GE6" s="8" t="str">
        <f t="shared" si="161"/>
        <v>F</v>
      </c>
      <c r="GF6" s="8" t="str">
        <f t="shared" si="161"/>
        <v>S</v>
      </c>
      <c r="GG6" s="8" t="str">
        <f t="shared" si="161"/>
        <v>S</v>
      </c>
      <c r="GH6" s="8" t="str">
        <f t="shared" ref="GH6:HW6" si="162">LEFT(TEXT(GH5,"ddd"),1)</f>
        <v>M</v>
      </c>
      <c r="GI6" s="8" t="str">
        <f t="shared" si="162"/>
        <v>T</v>
      </c>
      <c r="GJ6" s="8" t="str">
        <f t="shared" si="162"/>
        <v>W</v>
      </c>
      <c r="GK6" s="8" t="str">
        <f t="shared" si="162"/>
        <v>T</v>
      </c>
      <c r="GL6" s="8" t="str">
        <f t="shared" si="162"/>
        <v>F</v>
      </c>
      <c r="GM6" s="8" t="str">
        <f t="shared" si="162"/>
        <v>S</v>
      </c>
      <c r="GN6" s="8" t="str">
        <f t="shared" si="162"/>
        <v>S</v>
      </c>
      <c r="GO6" s="8" t="str">
        <f t="shared" si="162"/>
        <v>M</v>
      </c>
      <c r="GP6" s="8" t="str">
        <f t="shared" si="162"/>
        <v>T</v>
      </c>
      <c r="GQ6" s="8" t="str">
        <f t="shared" si="162"/>
        <v>W</v>
      </c>
      <c r="GR6" s="8" t="str">
        <f t="shared" si="162"/>
        <v>T</v>
      </c>
      <c r="GS6" s="8" t="str">
        <f t="shared" si="162"/>
        <v>F</v>
      </c>
      <c r="GT6" s="8" t="str">
        <f t="shared" si="162"/>
        <v>S</v>
      </c>
      <c r="GU6" s="8" t="str">
        <f t="shared" si="162"/>
        <v>S</v>
      </c>
      <c r="GV6" s="8" t="str">
        <f t="shared" si="162"/>
        <v>M</v>
      </c>
      <c r="GW6" s="8" t="str">
        <f t="shared" si="162"/>
        <v>T</v>
      </c>
      <c r="GX6" s="8" t="str">
        <f t="shared" si="162"/>
        <v>W</v>
      </c>
      <c r="GY6" s="8" t="str">
        <f t="shared" si="162"/>
        <v>T</v>
      </c>
      <c r="GZ6" s="8" t="str">
        <f t="shared" si="162"/>
        <v>F</v>
      </c>
      <c r="HA6" s="8" t="str">
        <f t="shared" si="162"/>
        <v>S</v>
      </c>
      <c r="HB6" s="8" t="str">
        <f t="shared" si="162"/>
        <v>S</v>
      </c>
      <c r="HC6" s="8" t="str">
        <f t="shared" si="162"/>
        <v>M</v>
      </c>
      <c r="HD6" s="8" t="str">
        <f t="shared" si="162"/>
        <v>T</v>
      </c>
      <c r="HE6" s="8" t="str">
        <f t="shared" si="162"/>
        <v>W</v>
      </c>
      <c r="HF6" s="8" t="str">
        <f t="shared" si="162"/>
        <v>T</v>
      </c>
      <c r="HG6" s="8" t="str">
        <f t="shared" si="162"/>
        <v>F</v>
      </c>
      <c r="HH6" s="8" t="str">
        <f t="shared" si="162"/>
        <v>S</v>
      </c>
      <c r="HI6" s="8" t="str">
        <f t="shared" si="162"/>
        <v>S</v>
      </c>
      <c r="HJ6" s="8" t="str">
        <f t="shared" si="162"/>
        <v>M</v>
      </c>
      <c r="HK6" s="8" t="str">
        <f t="shared" si="162"/>
        <v>T</v>
      </c>
      <c r="HL6" s="8" t="str">
        <f t="shared" si="162"/>
        <v>W</v>
      </c>
      <c r="HM6" s="8" t="str">
        <f t="shared" si="162"/>
        <v>T</v>
      </c>
      <c r="HN6" s="8" t="str">
        <f t="shared" si="162"/>
        <v>F</v>
      </c>
      <c r="HO6" s="8" t="str">
        <f t="shared" si="162"/>
        <v>S</v>
      </c>
      <c r="HP6" s="8" t="str">
        <f t="shared" si="162"/>
        <v>S</v>
      </c>
      <c r="HQ6" s="8" t="str">
        <f t="shared" si="162"/>
        <v>M</v>
      </c>
      <c r="HR6" s="8" t="str">
        <f t="shared" si="162"/>
        <v>T</v>
      </c>
      <c r="HS6" s="8" t="str">
        <f t="shared" si="162"/>
        <v>W</v>
      </c>
      <c r="HT6" s="8" t="str">
        <f t="shared" si="162"/>
        <v>T</v>
      </c>
      <c r="HU6" s="8" t="str">
        <f t="shared" si="162"/>
        <v>F</v>
      </c>
      <c r="HV6" s="8" t="str">
        <f t="shared" si="162"/>
        <v>S</v>
      </c>
      <c r="HW6" s="8" t="str">
        <f t="shared" si="162"/>
        <v>S</v>
      </c>
    </row>
    <row r="7" spans="1:231" ht="30" hidden="1" customHeight="1" thickBot="1" x14ac:dyDescent="0.35">
      <c r="A7" s="32" t="s">
        <v>6</v>
      </c>
      <c r="D7"/>
      <c r="G7" t="str">
        <f>IF(OR(ISBLANK(task_start),ISBLANK(task_end)),"",task_end-task_start+1)</f>
        <v/>
      </c>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c r="DZ7" s="18"/>
      <c r="EA7" s="18"/>
      <c r="EB7" s="18"/>
      <c r="EC7" s="18"/>
      <c r="ED7" s="18"/>
      <c r="EE7" s="18"/>
      <c r="EF7" s="18"/>
      <c r="EG7" s="18"/>
      <c r="EH7" s="18"/>
      <c r="EI7" s="18"/>
      <c r="EJ7" s="18"/>
      <c r="EK7" s="18"/>
      <c r="EL7" s="18"/>
      <c r="EM7" s="18"/>
      <c r="EN7" s="18"/>
      <c r="EO7" s="18"/>
      <c r="EP7" s="18"/>
      <c r="EQ7" s="18"/>
      <c r="ER7" s="18"/>
      <c r="ES7" s="18"/>
      <c r="ET7" s="18"/>
      <c r="EU7" s="18"/>
      <c r="EV7" s="18"/>
      <c r="EW7" s="18"/>
      <c r="EX7" s="18"/>
      <c r="EY7" s="18"/>
      <c r="EZ7" s="18"/>
      <c r="FA7" s="18"/>
      <c r="FB7" s="18"/>
      <c r="FC7" s="18"/>
      <c r="FD7" s="18"/>
      <c r="FE7" s="18"/>
      <c r="FF7" s="18"/>
      <c r="FG7" s="18"/>
      <c r="FH7" s="18"/>
      <c r="FI7" s="18"/>
      <c r="FJ7" s="18"/>
      <c r="FK7" s="18"/>
      <c r="FL7" s="18"/>
      <c r="FM7" s="18"/>
      <c r="FN7" s="18"/>
      <c r="FO7" s="18"/>
      <c r="FP7" s="18"/>
      <c r="FQ7" s="18"/>
      <c r="FR7" s="18"/>
      <c r="FS7" s="18"/>
      <c r="FT7" s="18"/>
      <c r="FU7" s="18"/>
      <c r="FV7" s="18"/>
      <c r="FW7" s="18"/>
      <c r="FX7" s="18"/>
      <c r="FY7" s="18"/>
      <c r="FZ7" s="18"/>
      <c r="GA7" s="18"/>
      <c r="GB7" s="18"/>
      <c r="GC7" s="18"/>
      <c r="GD7" s="18"/>
      <c r="GE7" s="18"/>
      <c r="GF7" s="18"/>
      <c r="GG7" s="18"/>
      <c r="GH7" s="18"/>
      <c r="GI7" s="18"/>
      <c r="GJ7" s="18"/>
      <c r="GK7" s="18"/>
      <c r="GL7" s="18"/>
      <c r="GM7" s="18"/>
      <c r="GN7" s="18"/>
      <c r="GO7" s="18"/>
      <c r="GP7" s="18"/>
      <c r="GQ7" s="18"/>
      <c r="GR7" s="18"/>
      <c r="GS7" s="18"/>
      <c r="GT7" s="18"/>
      <c r="GU7" s="18"/>
      <c r="GV7" s="18"/>
      <c r="GW7" s="18"/>
      <c r="GX7" s="18"/>
      <c r="GY7" s="18"/>
      <c r="GZ7" s="18"/>
      <c r="HA7" s="18"/>
      <c r="HB7" s="18"/>
      <c r="HC7" s="18"/>
      <c r="HD7" s="18"/>
      <c r="HE7" s="18"/>
      <c r="HF7" s="18"/>
      <c r="HG7" s="18"/>
      <c r="HH7" s="18"/>
      <c r="HI7" s="18"/>
      <c r="HJ7" s="18"/>
      <c r="HK7" s="18"/>
      <c r="HL7" s="18"/>
      <c r="HM7" s="18"/>
      <c r="HN7" s="18"/>
      <c r="HO7" s="18"/>
      <c r="HP7" s="18"/>
      <c r="HQ7" s="18"/>
      <c r="HR7" s="18"/>
      <c r="HS7" s="18"/>
      <c r="HT7" s="18"/>
      <c r="HU7" s="18"/>
      <c r="HV7" s="18"/>
      <c r="HW7" s="18"/>
    </row>
    <row r="8" spans="1:231" s="2" customFormat="1" ht="30" customHeight="1" thickBot="1" x14ac:dyDescent="0.35">
      <c r="A8" s="33" t="s">
        <v>7</v>
      </c>
      <c r="B8" s="38" t="s">
        <v>38</v>
      </c>
      <c r="C8" s="11">
        <v>1</v>
      </c>
      <c r="D8" s="47">
        <f>Project_Start</f>
        <v>45940</v>
      </c>
      <c r="E8" s="47">
        <f>D8+14</f>
        <v>45954</v>
      </c>
      <c r="F8" s="10"/>
      <c r="G8" s="10">
        <f t="shared" ref="G8:G26" si="163">IF(OR(ISBLANK(task_start),ISBLANK(task_end)),"",task_end-task_start+1)</f>
        <v>15</v>
      </c>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s="18"/>
      <c r="HU8" s="18"/>
      <c r="HV8" s="18"/>
      <c r="HW8" s="18"/>
    </row>
    <row r="9" spans="1:231" s="2" customFormat="1" ht="30" customHeight="1" thickBot="1" x14ac:dyDescent="0.35">
      <c r="A9" s="32"/>
      <c r="B9" s="38" t="s">
        <v>34</v>
      </c>
      <c r="C9" s="11">
        <v>1</v>
      </c>
      <c r="D9" s="47">
        <v>45954</v>
      </c>
      <c r="E9" s="47">
        <f>D9  +7</f>
        <v>45961</v>
      </c>
      <c r="F9" s="10"/>
      <c r="G9" s="10">
        <f t="shared" si="163"/>
        <v>8</v>
      </c>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8"/>
      <c r="CS9" s="18"/>
      <c r="CT9" s="18"/>
      <c r="CU9" s="18"/>
      <c r="CV9" s="18"/>
      <c r="CW9" s="18"/>
      <c r="CX9" s="18"/>
      <c r="CY9" s="18"/>
      <c r="CZ9" s="18"/>
      <c r="DA9" s="18"/>
      <c r="DB9" s="18"/>
      <c r="DC9" s="18"/>
      <c r="DD9" s="18"/>
      <c r="DE9" s="18"/>
      <c r="DF9" s="18"/>
      <c r="DG9" s="18"/>
      <c r="DH9" s="18"/>
      <c r="DI9" s="18"/>
      <c r="DJ9" s="18"/>
      <c r="DK9" s="18"/>
      <c r="DL9" s="18"/>
      <c r="DM9" s="18"/>
      <c r="DN9" s="18"/>
      <c r="DO9" s="18"/>
      <c r="DP9" s="18"/>
      <c r="DQ9" s="18"/>
      <c r="DR9" s="18"/>
      <c r="DS9" s="18"/>
      <c r="DT9" s="18"/>
      <c r="DU9" s="18"/>
      <c r="DV9" s="18"/>
      <c r="DW9" s="18"/>
      <c r="DX9" s="18"/>
      <c r="DY9" s="18"/>
      <c r="DZ9" s="18"/>
      <c r="EA9" s="18"/>
      <c r="EB9" s="18"/>
      <c r="EC9" s="18"/>
      <c r="ED9" s="18"/>
      <c r="EE9" s="18"/>
      <c r="EF9" s="18"/>
      <c r="EG9" s="18"/>
      <c r="EH9" s="18"/>
      <c r="EI9" s="18"/>
      <c r="EJ9" s="18"/>
      <c r="EK9" s="18"/>
      <c r="EL9" s="18"/>
      <c r="EM9" s="18"/>
      <c r="EN9" s="18"/>
      <c r="EO9" s="18"/>
      <c r="EP9" s="18"/>
      <c r="EQ9" s="18"/>
      <c r="ER9" s="18"/>
      <c r="ES9" s="18"/>
      <c r="ET9" s="18"/>
      <c r="EU9" s="18"/>
      <c r="EV9" s="18"/>
      <c r="EW9" s="18"/>
      <c r="EX9" s="18"/>
      <c r="EY9" s="18"/>
      <c r="EZ9" s="18"/>
      <c r="FA9" s="18"/>
      <c r="FB9" s="18"/>
      <c r="FC9" s="18"/>
      <c r="FD9" s="18"/>
      <c r="FE9" s="18"/>
      <c r="FF9" s="18"/>
      <c r="FG9" s="18"/>
      <c r="FH9" s="18"/>
      <c r="FI9" s="18"/>
      <c r="FJ9" s="18"/>
      <c r="FK9" s="18"/>
      <c r="FL9" s="18"/>
      <c r="FM9" s="18"/>
      <c r="FN9" s="18"/>
      <c r="FO9" s="18"/>
      <c r="FP9" s="18"/>
      <c r="FQ9" s="18"/>
      <c r="FR9" s="18"/>
      <c r="FS9" s="18"/>
      <c r="FT9" s="18"/>
      <c r="FU9" s="18"/>
      <c r="FV9" s="18"/>
      <c r="FW9" s="18"/>
      <c r="FX9" s="18"/>
      <c r="FY9" s="18"/>
      <c r="FZ9" s="18"/>
      <c r="GA9" s="18"/>
      <c r="GB9" s="18"/>
      <c r="GC9" s="18"/>
      <c r="GD9" s="18"/>
      <c r="GE9" s="18"/>
      <c r="GF9" s="18"/>
      <c r="GG9" s="18"/>
      <c r="GH9" s="18"/>
      <c r="GI9" s="18"/>
      <c r="GJ9" s="18"/>
      <c r="GK9" s="18"/>
      <c r="GL9" s="18"/>
      <c r="GM9" s="18"/>
      <c r="GN9" s="18"/>
      <c r="GO9" s="18"/>
      <c r="GP9" s="18"/>
      <c r="GQ9" s="18"/>
      <c r="GR9" s="18"/>
      <c r="GS9" s="18"/>
      <c r="GT9" s="18"/>
      <c r="GU9" s="18"/>
      <c r="GV9" s="18"/>
      <c r="GW9" s="18"/>
      <c r="GX9" s="18"/>
      <c r="GY9" s="18"/>
      <c r="GZ9" s="18"/>
      <c r="HA9" s="18"/>
      <c r="HB9" s="18"/>
      <c r="HC9" s="18"/>
      <c r="HD9" s="18"/>
      <c r="HE9" s="18"/>
      <c r="HF9" s="18"/>
      <c r="HG9" s="18"/>
      <c r="HH9" s="18"/>
      <c r="HI9" s="18"/>
      <c r="HJ9" s="18"/>
      <c r="HK9" s="18"/>
      <c r="HL9" s="18"/>
      <c r="HM9" s="18"/>
      <c r="HN9" s="18"/>
      <c r="HO9" s="18"/>
      <c r="HP9" s="18"/>
      <c r="HQ9" s="18"/>
      <c r="HR9" s="18"/>
      <c r="HS9" s="18"/>
      <c r="HT9" s="18"/>
      <c r="HU9" s="18"/>
      <c r="HV9" s="18"/>
      <c r="HW9" s="18"/>
    </row>
    <row r="10" spans="1:231" s="2" customFormat="1" ht="30" customHeight="1" thickBot="1" x14ac:dyDescent="0.35">
      <c r="A10" s="32"/>
      <c r="B10" s="38" t="s">
        <v>39</v>
      </c>
      <c r="C10" s="11">
        <v>1</v>
      </c>
      <c r="D10" s="47">
        <v>45954</v>
      </c>
      <c r="E10" s="47">
        <f>D10  +28</f>
        <v>45982</v>
      </c>
      <c r="F10" s="10"/>
      <c r="G10" s="10">
        <f t="shared" si="163"/>
        <v>29</v>
      </c>
      <c r="H10" s="18"/>
      <c r="I10" s="18"/>
      <c r="J10" s="18"/>
      <c r="K10" s="18"/>
      <c r="L10" s="18"/>
      <c r="M10" s="18"/>
      <c r="N10" s="18"/>
      <c r="O10" s="18"/>
      <c r="P10" s="18"/>
      <c r="Q10" s="18"/>
      <c r="R10" s="18"/>
      <c r="S10" s="18"/>
      <c r="T10" s="18"/>
      <c r="U10" s="18"/>
      <c r="V10" s="18"/>
      <c r="W10" s="18"/>
      <c r="X10" s="19"/>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8"/>
      <c r="CS10" s="18"/>
      <c r="CT10" s="18"/>
      <c r="CU10" s="18"/>
      <c r="CV10" s="18"/>
      <c r="CW10" s="18"/>
      <c r="CX10" s="18"/>
      <c r="CY10" s="18"/>
      <c r="CZ10" s="18"/>
      <c r="DA10" s="18"/>
      <c r="DB10" s="18"/>
      <c r="DC10" s="18"/>
      <c r="DD10" s="18"/>
      <c r="DE10" s="18"/>
      <c r="DF10" s="18"/>
      <c r="DG10" s="18"/>
      <c r="DH10" s="18"/>
      <c r="DI10" s="18"/>
      <c r="DJ10" s="18"/>
      <c r="DK10" s="18"/>
      <c r="DL10" s="18"/>
      <c r="DM10" s="18"/>
      <c r="DN10" s="18"/>
      <c r="DO10" s="18"/>
      <c r="DP10" s="18"/>
      <c r="DQ10" s="18"/>
      <c r="DR10" s="18"/>
      <c r="DS10" s="18"/>
      <c r="DT10" s="18"/>
      <c r="DU10" s="18"/>
      <c r="DV10" s="18"/>
      <c r="DW10" s="18"/>
      <c r="DX10" s="18"/>
      <c r="DY10" s="18"/>
      <c r="DZ10" s="18"/>
      <c r="EA10" s="18"/>
      <c r="EB10" s="18"/>
      <c r="EC10" s="18"/>
      <c r="ED10" s="18"/>
      <c r="EE10" s="18"/>
      <c r="EF10" s="18"/>
      <c r="EG10" s="18"/>
      <c r="EH10" s="18"/>
      <c r="EI10" s="18"/>
      <c r="EJ10" s="18"/>
      <c r="EK10" s="18"/>
      <c r="EL10" s="18"/>
      <c r="EM10" s="18"/>
      <c r="EN10" s="18"/>
      <c r="EO10" s="18"/>
      <c r="EP10" s="18"/>
      <c r="EQ10" s="18"/>
      <c r="ER10" s="18"/>
      <c r="ES10" s="18"/>
      <c r="ET10" s="18"/>
      <c r="EU10" s="18"/>
      <c r="EV10" s="18"/>
      <c r="EW10" s="18"/>
      <c r="EX10" s="18"/>
      <c r="EY10" s="18"/>
      <c r="EZ10" s="18"/>
      <c r="FA10" s="18"/>
      <c r="FB10" s="18"/>
      <c r="FC10" s="18"/>
      <c r="FD10" s="18"/>
      <c r="FE10" s="18"/>
      <c r="FF10" s="18"/>
      <c r="FG10" s="18"/>
      <c r="FH10" s="18"/>
      <c r="FI10" s="18"/>
      <c r="FJ10" s="18"/>
      <c r="FK10" s="18"/>
      <c r="FL10" s="18"/>
      <c r="FM10" s="18"/>
      <c r="FN10" s="18"/>
      <c r="FO10" s="18"/>
      <c r="FP10" s="18"/>
      <c r="FQ10" s="18"/>
      <c r="FR10" s="18"/>
      <c r="FS10" s="18"/>
      <c r="FT10" s="18"/>
      <c r="FU10" s="18"/>
      <c r="FV10" s="18"/>
      <c r="FW10" s="18"/>
      <c r="FX10" s="18"/>
      <c r="FY10" s="18"/>
      <c r="FZ10" s="18"/>
      <c r="GA10" s="18"/>
      <c r="GB10" s="18"/>
      <c r="GC10" s="18"/>
      <c r="GD10" s="18"/>
      <c r="GE10" s="18"/>
      <c r="GF10" s="18"/>
      <c r="GG10" s="18"/>
      <c r="GH10" s="18"/>
      <c r="GI10" s="18"/>
      <c r="GJ10" s="18"/>
      <c r="GK10" s="18"/>
      <c r="GL10" s="18"/>
      <c r="GM10" s="18"/>
      <c r="GN10" s="18"/>
      <c r="GO10" s="18"/>
      <c r="GP10" s="18"/>
      <c r="GQ10" s="18"/>
      <c r="GR10" s="18"/>
      <c r="GS10" s="18"/>
      <c r="GT10" s="18"/>
      <c r="GU10" s="18"/>
      <c r="GV10" s="18"/>
      <c r="GW10" s="18"/>
      <c r="GX10" s="18"/>
      <c r="GY10" s="18"/>
      <c r="GZ10" s="18"/>
      <c r="HA10" s="18"/>
      <c r="HB10" s="18"/>
      <c r="HC10" s="18"/>
      <c r="HD10" s="18"/>
      <c r="HE10" s="18"/>
      <c r="HF10" s="18"/>
      <c r="HG10" s="18"/>
      <c r="HH10" s="18"/>
      <c r="HI10" s="18"/>
      <c r="HJ10" s="18"/>
      <c r="HK10" s="18"/>
      <c r="HL10" s="18"/>
      <c r="HM10" s="18"/>
      <c r="HN10" s="18"/>
      <c r="HO10" s="18"/>
      <c r="HP10" s="18"/>
      <c r="HQ10" s="18"/>
      <c r="HR10" s="18"/>
      <c r="HS10" s="18"/>
      <c r="HT10" s="18"/>
      <c r="HU10" s="18"/>
      <c r="HV10" s="18"/>
      <c r="HW10" s="18"/>
    </row>
    <row r="11" spans="1:231" s="2" customFormat="1" ht="30" customHeight="1" thickBot="1" x14ac:dyDescent="0.35">
      <c r="A11" s="32"/>
      <c r="B11" s="38" t="s">
        <v>40</v>
      </c>
      <c r="C11" s="11">
        <v>1</v>
      </c>
      <c r="D11" s="47">
        <f>D10</f>
        <v>45954</v>
      </c>
      <c r="E11" s="47">
        <f>D11+28</f>
        <v>45982</v>
      </c>
      <c r="F11" s="10"/>
      <c r="G11" s="10">
        <f t="shared" si="163"/>
        <v>29</v>
      </c>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8"/>
      <c r="DG11" s="18"/>
      <c r="DH11" s="18"/>
      <c r="DI11" s="18"/>
      <c r="DJ11" s="18"/>
      <c r="DK11" s="18"/>
      <c r="DL11" s="18"/>
      <c r="DM11" s="18"/>
      <c r="DN11" s="18"/>
      <c r="DO11" s="18"/>
      <c r="DP11" s="18"/>
      <c r="DQ11" s="18"/>
      <c r="DR11" s="18"/>
      <c r="DS11" s="18"/>
      <c r="DT11" s="18"/>
      <c r="DU11" s="18"/>
      <c r="DV11" s="18"/>
      <c r="DW11" s="18"/>
      <c r="DX11" s="18"/>
      <c r="DY11" s="18"/>
      <c r="DZ11" s="18"/>
      <c r="EA11" s="18"/>
      <c r="EB11" s="18"/>
      <c r="EC11" s="18"/>
      <c r="ED11" s="18"/>
      <c r="EE11" s="18"/>
      <c r="EF11" s="18"/>
      <c r="EG11" s="18"/>
      <c r="EH11" s="18"/>
      <c r="EI11" s="18"/>
      <c r="EJ11" s="18"/>
      <c r="EK11" s="18"/>
      <c r="EL11" s="18"/>
      <c r="EM11" s="18"/>
      <c r="EN11" s="18"/>
      <c r="EO11" s="18"/>
      <c r="EP11" s="18"/>
      <c r="EQ11" s="18"/>
      <c r="ER11" s="18"/>
      <c r="ES11" s="18"/>
      <c r="ET11" s="18"/>
      <c r="EU11" s="18"/>
      <c r="EV11" s="18"/>
      <c r="EW11" s="18"/>
      <c r="EX11" s="18"/>
      <c r="EY11" s="18"/>
      <c r="EZ11" s="18"/>
      <c r="FA11" s="18"/>
      <c r="FB11" s="18"/>
      <c r="FC11" s="18"/>
      <c r="FD11" s="18"/>
      <c r="FE11" s="18"/>
      <c r="FF11" s="18"/>
      <c r="FG11" s="18"/>
      <c r="FH11" s="18"/>
      <c r="FI11" s="18"/>
      <c r="FJ11" s="18"/>
      <c r="FK11" s="18"/>
      <c r="FL11" s="18"/>
      <c r="FM11" s="18"/>
      <c r="FN11" s="18"/>
      <c r="FO11" s="18"/>
      <c r="FP11" s="18"/>
      <c r="FQ11" s="18"/>
      <c r="FR11" s="18"/>
      <c r="FS11" s="18"/>
      <c r="FT11" s="18"/>
      <c r="FU11" s="18"/>
      <c r="FV11" s="18"/>
      <c r="FW11" s="18"/>
      <c r="FX11" s="18"/>
      <c r="FY11" s="18"/>
      <c r="FZ11" s="18"/>
      <c r="GA11" s="18"/>
      <c r="GB11" s="18"/>
      <c r="GC11" s="18"/>
      <c r="GD11" s="18"/>
      <c r="GE11" s="18"/>
      <c r="GF11" s="18"/>
      <c r="GG11" s="18"/>
      <c r="GH11" s="18"/>
      <c r="GI11" s="18"/>
      <c r="GJ11" s="18"/>
      <c r="GK11" s="18"/>
      <c r="GL11" s="18"/>
      <c r="GM11" s="18"/>
      <c r="GN11" s="18"/>
      <c r="GO11" s="18"/>
      <c r="GP11" s="18"/>
      <c r="GQ11" s="18"/>
      <c r="GR11" s="18"/>
      <c r="GS11" s="18"/>
      <c r="GT11" s="18"/>
      <c r="GU11" s="18"/>
      <c r="GV11" s="18"/>
      <c r="GW11" s="18"/>
      <c r="GX11" s="18"/>
      <c r="GY11" s="18"/>
      <c r="GZ11" s="18"/>
      <c r="HA11" s="18"/>
      <c r="HB11" s="18"/>
      <c r="HC11" s="18"/>
      <c r="HD11" s="18"/>
      <c r="HE11" s="18"/>
      <c r="HF11" s="18"/>
      <c r="HG11" s="18"/>
      <c r="HH11" s="18"/>
      <c r="HI11" s="18"/>
      <c r="HJ11" s="18"/>
      <c r="HK11" s="18"/>
      <c r="HL11" s="18"/>
      <c r="HM11" s="18"/>
      <c r="HN11" s="18"/>
      <c r="HO11" s="18"/>
      <c r="HP11" s="18"/>
      <c r="HQ11" s="18"/>
      <c r="HR11" s="18"/>
      <c r="HS11" s="18"/>
      <c r="HT11" s="18"/>
      <c r="HU11" s="18"/>
      <c r="HV11" s="18"/>
      <c r="HW11" s="18"/>
    </row>
    <row r="12" spans="1:231" s="2" customFormat="1" ht="30" customHeight="1" thickBot="1" x14ac:dyDescent="0.35">
      <c r="A12" s="33"/>
      <c r="B12" s="39" t="s">
        <v>48</v>
      </c>
      <c r="C12" s="12">
        <v>1</v>
      </c>
      <c r="D12" s="47">
        <v>45962</v>
      </c>
      <c r="E12" s="47">
        <f>D12+7</f>
        <v>45969</v>
      </c>
      <c r="F12" s="10"/>
      <c r="G12" s="10">
        <f t="shared" si="163"/>
        <v>8</v>
      </c>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8"/>
      <c r="DG12" s="18"/>
      <c r="DH12" s="18"/>
      <c r="DI12" s="18"/>
      <c r="DJ12" s="18"/>
      <c r="DK12" s="18"/>
      <c r="DL12" s="18"/>
      <c r="DM12" s="18"/>
      <c r="DN12" s="18"/>
      <c r="DO12" s="18"/>
      <c r="DP12" s="18"/>
      <c r="DQ12" s="18"/>
      <c r="DR12" s="18"/>
      <c r="DS12" s="18"/>
      <c r="DT12" s="18"/>
      <c r="DU12" s="18"/>
      <c r="DV12" s="18"/>
      <c r="DW12" s="18"/>
      <c r="DX12" s="18"/>
      <c r="DY12" s="18"/>
      <c r="DZ12" s="18"/>
      <c r="EA12" s="18"/>
      <c r="EB12" s="18"/>
      <c r="EC12" s="18"/>
      <c r="ED12" s="18"/>
      <c r="EE12" s="18"/>
      <c r="EF12" s="18"/>
      <c r="EG12" s="18"/>
      <c r="EH12" s="18"/>
      <c r="EI12" s="18"/>
      <c r="EJ12" s="18"/>
      <c r="EK12" s="18"/>
      <c r="EL12" s="18"/>
      <c r="EM12" s="18"/>
      <c r="EN12" s="18"/>
      <c r="EO12" s="18"/>
      <c r="EP12" s="18"/>
      <c r="EQ12" s="18"/>
      <c r="ER12" s="18"/>
      <c r="ES12" s="18"/>
      <c r="ET12" s="18"/>
      <c r="EU12" s="18"/>
      <c r="EV12" s="18"/>
      <c r="EW12" s="18"/>
      <c r="EX12" s="18"/>
      <c r="EY12" s="18"/>
      <c r="EZ12" s="18"/>
      <c r="FA12" s="18"/>
      <c r="FB12" s="18"/>
      <c r="FC12" s="18"/>
      <c r="FD12" s="18"/>
      <c r="FE12" s="18"/>
      <c r="FF12" s="18"/>
      <c r="FG12" s="18"/>
      <c r="FH12" s="18"/>
      <c r="FI12" s="18"/>
      <c r="FJ12" s="18"/>
      <c r="FK12" s="18"/>
      <c r="FL12" s="18"/>
      <c r="FM12" s="18"/>
      <c r="FN12" s="18"/>
      <c r="FO12" s="18"/>
      <c r="FP12" s="18"/>
      <c r="FQ12" s="18"/>
      <c r="FR12" s="18"/>
      <c r="FS12" s="18"/>
      <c r="FT12" s="18"/>
      <c r="FU12" s="18"/>
      <c r="FV12" s="18"/>
      <c r="FW12" s="18"/>
      <c r="FX12" s="18"/>
      <c r="FY12" s="18"/>
      <c r="FZ12" s="18"/>
      <c r="GA12" s="18"/>
      <c r="GB12" s="18"/>
      <c r="GC12" s="18"/>
      <c r="GD12" s="18"/>
      <c r="GE12" s="18"/>
      <c r="GF12" s="18"/>
      <c r="GG12" s="18"/>
      <c r="GH12" s="18"/>
      <c r="GI12" s="18"/>
      <c r="GJ12" s="18"/>
      <c r="GK12" s="18"/>
      <c r="GL12" s="18"/>
      <c r="GM12" s="18"/>
      <c r="GN12" s="18"/>
      <c r="GO12" s="18"/>
      <c r="GP12" s="18"/>
      <c r="GQ12" s="18"/>
      <c r="GR12" s="18"/>
      <c r="GS12" s="18"/>
      <c r="GT12" s="18"/>
      <c r="GU12" s="18"/>
      <c r="GV12" s="18"/>
      <c r="GW12" s="18"/>
      <c r="GX12" s="18"/>
      <c r="GY12" s="18"/>
      <c r="GZ12" s="18"/>
      <c r="HA12" s="18"/>
      <c r="HB12" s="18"/>
      <c r="HC12" s="18"/>
      <c r="HD12" s="18"/>
      <c r="HE12" s="18"/>
      <c r="HF12" s="18"/>
      <c r="HG12" s="18"/>
      <c r="HH12" s="18"/>
      <c r="HI12" s="18"/>
      <c r="HJ12" s="18"/>
      <c r="HK12" s="18"/>
      <c r="HL12" s="18"/>
      <c r="HM12" s="18"/>
      <c r="HN12" s="18"/>
      <c r="HO12" s="18"/>
      <c r="HP12" s="18"/>
      <c r="HQ12" s="18"/>
      <c r="HR12" s="18"/>
      <c r="HS12" s="18"/>
      <c r="HT12" s="18"/>
      <c r="HU12" s="18"/>
      <c r="HV12" s="18"/>
      <c r="HW12" s="18"/>
    </row>
    <row r="13" spans="1:231" s="2" customFormat="1" ht="30" customHeight="1" thickBot="1" x14ac:dyDescent="0.35">
      <c r="A13" s="32"/>
      <c r="B13" s="39" t="s">
        <v>41</v>
      </c>
      <c r="C13" s="60">
        <v>1</v>
      </c>
      <c r="D13" s="47">
        <v>45968</v>
      </c>
      <c r="E13" s="47">
        <f>D13+14</f>
        <v>45982</v>
      </c>
      <c r="F13" s="10"/>
      <c r="G13" s="10">
        <f t="shared" si="163"/>
        <v>15</v>
      </c>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c r="GS13" s="18"/>
      <c r="GT13" s="18"/>
      <c r="GU13" s="18"/>
      <c r="GV13" s="18"/>
      <c r="GW13" s="18"/>
      <c r="GX13" s="18"/>
      <c r="GY13" s="18"/>
      <c r="GZ13" s="18"/>
      <c r="HA13" s="18"/>
      <c r="HB13" s="18"/>
      <c r="HC13" s="18"/>
      <c r="HD13" s="18"/>
      <c r="HE13" s="18"/>
      <c r="HF13" s="18"/>
      <c r="HG13" s="18"/>
      <c r="HH13" s="18"/>
      <c r="HI13" s="18"/>
      <c r="HJ13" s="18"/>
      <c r="HK13" s="18"/>
      <c r="HL13" s="18"/>
      <c r="HM13" s="18"/>
      <c r="HN13" s="18"/>
      <c r="HO13" s="18"/>
      <c r="HP13" s="18"/>
      <c r="HQ13" s="18"/>
      <c r="HR13" s="18"/>
      <c r="HS13" s="18"/>
      <c r="HT13" s="18"/>
      <c r="HU13" s="18"/>
      <c r="HV13" s="18"/>
      <c r="HW13" s="18"/>
    </row>
    <row r="14" spans="1:231" s="2" customFormat="1" ht="30" customHeight="1" thickBot="1" x14ac:dyDescent="0.35">
      <c r="A14" s="32"/>
      <c r="B14" s="39" t="s">
        <v>42</v>
      </c>
      <c r="C14" s="12">
        <v>1</v>
      </c>
      <c r="D14" s="47">
        <f>E13</f>
        <v>45982</v>
      </c>
      <c r="E14" s="47">
        <f t="shared" ref="E14" si="164">D14+14</f>
        <v>45996</v>
      </c>
      <c r="F14" s="10"/>
      <c r="G14" s="10">
        <f t="shared" si="163"/>
        <v>15</v>
      </c>
      <c r="H14" s="18"/>
      <c r="I14" s="18"/>
      <c r="J14" s="18"/>
      <c r="K14" s="18"/>
      <c r="L14" s="18"/>
      <c r="M14" s="18"/>
      <c r="N14" s="18"/>
      <c r="O14" s="18"/>
      <c r="P14" s="18"/>
      <c r="Q14" s="18"/>
      <c r="R14" s="18"/>
      <c r="S14" s="18"/>
      <c r="T14" s="18"/>
      <c r="U14" s="18"/>
      <c r="V14" s="18"/>
      <c r="W14" s="18"/>
      <c r="X14" s="19"/>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8"/>
      <c r="DG14" s="18"/>
      <c r="DH14" s="18"/>
      <c r="DI14" s="18"/>
      <c r="DJ14" s="18"/>
      <c r="DK14" s="18"/>
      <c r="DL14" s="18"/>
      <c r="DM14" s="18"/>
      <c r="DN14" s="18"/>
      <c r="DO14" s="18"/>
      <c r="DP14" s="18"/>
      <c r="DQ14" s="18"/>
      <c r="DR14" s="18"/>
      <c r="DS14" s="18"/>
      <c r="DT14" s="18"/>
      <c r="DU14" s="18"/>
      <c r="DV14" s="18"/>
      <c r="DW14" s="18"/>
      <c r="DX14" s="18"/>
      <c r="DY14" s="18"/>
      <c r="DZ14" s="18"/>
      <c r="EA14" s="18"/>
      <c r="EB14" s="18"/>
      <c r="EC14" s="18"/>
      <c r="ED14" s="18"/>
      <c r="EE14" s="18"/>
      <c r="EF14" s="18"/>
      <c r="EG14" s="18"/>
      <c r="EH14" s="18"/>
      <c r="EI14" s="18"/>
      <c r="EJ14" s="18"/>
      <c r="EK14" s="18"/>
      <c r="EL14" s="18"/>
      <c r="EM14" s="18"/>
      <c r="EN14" s="18"/>
      <c r="EO14" s="18"/>
      <c r="EP14" s="18"/>
      <c r="EQ14" s="18"/>
      <c r="ER14" s="18"/>
      <c r="ES14" s="18"/>
      <c r="ET14" s="18"/>
      <c r="EU14" s="18"/>
      <c r="EV14" s="18"/>
      <c r="EW14" s="18"/>
      <c r="EX14" s="18"/>
      <c r="EY14" s="18"/>
      <c r="EZ14" s="18"/>
      <c r="FA14" s="18"/>
      <c r="FB14" s="18"/>
      <c r="FC14" s="18"/>
      <c r="FD14" s="18"/>
      <c r="FE14" s="18"/>
      <c r="FF14" s="18"/>
      <c r="FG14" s="18"/>
      <c r="FH14" s="18"/>
      <c r="FI14" s="18"/>
      <c r="FJ14" s="18"/>
      <c r="FK14" s="18"/>
      <c r="FL14" s="18"/>
      <c r="FM14" s="18"/>
      <c r="FN14" s="18"/>
      <c r="FO14" s="18"/>
      <c r="FP14" s="18"/>
      <c r="FQ14" s="18"/>
      <c r="FR14" s="18"/>
      <c r="FS14" s="18"/>
      <c r="FT14" s="18"/>
      <c r="FU14" s="18"/>
      <c r="FV14" s="18"/>
      <c r="FW14" s="18"/>
      <c r="FX14" s="18"/>
      <c r="FY14" s="18"/>
      <c r="FZ14" s="18"/>
      <c r="GA14" s="18"/>
      <c r="GB14" s="18"/>
      <c r="GC14" s="18"/>
      <c r="GD14" s="18"/>
      <c r="GE14" s="18"/>
      <c r="GF14" s="18"/>
      <c r="GG14" s="18"/>
      <c r="GH14" s="18"/>
      <c r="GI14" s="18"/>
      <c r="GJ14" s="18"/>
      <c r="GK14" s="18"/>
      <c r="GL14" s="18"/>
      <c r="GM14" s="18"/>
      <c r="GN14" s="18"/>
      <c r="GO14" s="18"/>
      <c r="GP14" s="18"/>
      <c r="GQ14" s="18"/>
      <c r="GR14" s="18"/>
      <c r="GS14" s="18"/>
      <c r="GT14" s="18"/>
      <c r="GU14" s="18"/>
      <c r="GV14" s="18"/>
      <c r="GW14" s="18"/>
      <c r="GX14" s="18"/>
      <c r="GY14" s="18"/>
      <c r="GZ14" s="18"/>
      <c r="HA14" s="18"/>
      <c r="HB14" s="18"/>
      <c r="HC14" s="18"/>
      <c r="HD14" s="18"/>
      <c r="HE14" s="18"/>
      <c r="HF14" s="18"/>
      <c r="HG14" s="18"/>
      <c r="HH14" s="18"/>
      <c r="HI14" s="18"/>
      <c r="HJ14" s="18"/>
      <c r="HK14" s="18"/>
      <c r="HL14" s="18"/>
      <c r="HM14" s="18"/>
      <c r="HN14" s="18"/>
      <c r="HO14" s="18"/>
      <c r="HP14" s="18"/>
      <c r="HQ14" s="18"/>
      <c r="HR14" s="18"/>
      <c r="HS14" s="18"/>
      <c r="HT14" s="18"/>
      <c r="HU14" s="18"/>
      <c r="HV14" s="18"/>
      <c r="HW14" s="18"/>
    </row>
    <row r="15" spans="1:231" s="2" customFormat="1" ht="30" customHeight="1" thickBot="1" x14ac:dyDescent="0.35">
      <c r="A15" s="32"/>
      <c r="B15" s="39" t="s">
        <v>49</v>
      </c>
      <c r="C15" s="12"/>
      <c r="D15" s="47">
        <f>E14</f>
        <v>45996</v>
      </c>
      <c r="E15" s="47">
        <f>D15+14</f>
        <v>46010</v>
      </c>
      <c r="F15" s="10"/>
      <c r="G15" s="10">
        <f t="shared" si="163"/>
        <v>15</v>
      </c>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18"/>
      <c r="DG15" s="18"/>
      <c r="DH15" s="18"/>
      <c r="DI15" s="18"/>
      <c r="DJ15" s="18"/>
      <c r="DK15" s="18"/>
      <c r="DL15" s="18"/>
      <c r="DM15" s="18"/>
      <c r="DN15" s="18"/>
      <c r="DO15" s="18"/>
      <c r="DP15" s="18"/>
      <c r="DQ15" s="18"/>
      <c r="DR15" s="18"/>
      <c r="DS15" s="18"/>
      <c r="DT15" s="18"/>
      <c r="DU15" s="18"/>
      <c r="DV15" s="18"/>
      <c r="DW15" s="18"/>
      <c r="DX15" s="18"/>
      <c r="DY15" s="18"/>
      <c r="DZ15" s="18"/>
      <c r="EA15" s="18"/>
      <c r="EB15" s="18"/>
      <c r="EC15" s="18"/>
      <c r="ED15" s="18"/>
      <c r="EE15" s="18"/>
      <c r="EF15" s="18"/>
      <c r="EG15" s="18"/>
      <c r="EH15" s="18"/>
      <c r="EI15" s="18"/>
      <c r="EJ15" s="18"/>
      <c r="EK15" s="18"/>
      <c r="EL15" s="18"/>
      <c r="EM15" s="18"/>
      <c r="EN15" s="18"/>
      <c r="EO15" s="18"/>
      <c r="EP15" s="18"/>
      <c r="EQ15" s="18"/>
      <c r="ER15" s="18"/>
      <c r="ES15" s="18"/>
      <c r="ET15" s="18"/>
      <c r="EU15" s="18"/>
      <c r="EV15" s="18"/>
      <c r="EW15" s="18"/>
      <c r="EX15" s="18"/>
      <c r="EY15" s="18"/>
      <c r="EZ15" s="18"/>
      <c r="FA15" s="18"/>
      <c r="FB15" s="18"/>
      <c r="FC15" s="18"/>
      <c r="FD15" s="18"/>
      <c r="FE15" s="18"/>
      <c r="FF15" s="18"/>
      <c r="FG15" s="18"/>
      <c r="FH15" s="18"/>
      <c r="FI15" s="18"/>
      <c r="FJ15" s="18"/>
      <c r="FK15" s="18"/>
      <c r="FL15" s="18"/>
      <c r="FM15" s="18"/>
      <c r="FN15" s="18"/>
      <c r="FO15" s="18"/>
      <c r="FP15" s="18"/>
      <c r="FQ15" s="18"/>
      <c r="FR15" s="18"/>
      <c r="FS15" s="18"/>
      <c r="FT15" s="18"/>
      <c r="FU15" s="18"/>
      <c r="FV15" s="18"/>
      <c r="FW15" s="18"/>
      <c r="FX15" s="18"/>
      <c r="FY15" s="18"/>
      <c r="FZ15" s="18"/>
      <c r="GA15" s="18"/>
      <c r="GB15" s="18"/>
      <c r="GC15" s="18"/>
      <c r="GD15" s="18"/>
      <c r="GE15" s="18"/>
      <c r="GF15" s="18"/>
      <c r="GG15" s="18"/>
      <c r="GH15" s="18"/>
      <c r="GI15" s="18"/>
      <c r="GJ15" s="18"/>
      <c r="GK15" s="18"/>
      <c r="GL15" s="18"/>
      <c r="GM15" s="18"/>
      <c r="GN15" s="18"/>
      <c r="GO15" s="18"/>
      <c r="GP15" s="18"/>
      <c r="GQ15" s="18"/>
      <c r="GR15" s="18"/>
      <c r="GS15" s="18"/>
      <c r="GT15" s="18"/>
      <c r="GU15" s="18"/>
      <c r="GV15" s="18"/>
      <c r="GW15" s="18"/>
      <c r="GX15" s="18"/>
      <c r="GY15" s="18"/>
      <c r="GZ15" s="18"/>
      <c r="HA15" s="18"/>
      <c r="HB15" s="18"/>
      <c r="HC15" s="18"/>
      <c r="HD15" s="18"/>
      <c r="HE15" s="18"/>
      <c r="HF15" s="18"/>
      <c r="HG15" s="18"/>
      <c r="HH15" s="18"/>
      <c r="HI15" s="18"/>
      <c r="HJ15" s="18"/>
      <c r="HK15" s="18"/>
      <c r="HL15" s="18"/>
      <c r="HM15" s="18"/>
      <c r="HN15" s="18"/>
      <c r="HO15" s="18"/>
      <c r="HP15" s="18"/>
      <c r="HQ15" s="18"/>
      <c r="HR15" s="18"/>
      <c r="HS15" s="18"/>
      <c r="HT15" s="18"/>
      <c r="HU15" s="18"/>
      <c r="HV15" s="18"/>
      <c r="HW15" s="18"/>
    </row>
    <row r="16" spans="1:231" s="2" customFormat="1" ht="30" customHeight="1" thickBot="1" x14ac:dyDescent="0.35">
      <c r="A16" s="32"/>
      <c r="B16" s="39" t="s">
        <v>45</v>
      </c>
      <c r="C16" s="12"/>
      <c r="D16" s="47">
        <v>46027</v>
      </c>
      <c r="E16" s="47">
        <f>D16+14</f>
        <v>46041</v>
      </c>
      <c r="F16" s="10"/>
      <c r="G16" s="10"/>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8"/>
      <c r="DG16" s="18"/>
      <c r="DH16" s="18"/>
      <c r="DI16" s="18"/>
      <c r="DJ16" s="18"/>
      <c r="DK16" s="18"/>
      <c r="DL16" s="18"/>
      <c r="DM16" s="18"/>
      <c r="DN16" s="18"/>
      <c r="DO16" s="18"/>
      <c r="DP16" s="18"/>
      <c r="DQ16" s="18"/>
      <c r="DR16" s="18"/>
      <c r="DS16" s="18"/>
      <c r="DT16" s="18"/>
      <c r="DU16" s="18"/>
      <c r="DV16" s="18"/>
      <c r="DW16" s="18"/>
      <c r="DX16" s="18"/>
      <c r="DY16" s="18"/>
      <c r="DZ16" s="18"/>
      <c r="EA16" s="18"/>
      <c r="EB16" s="18"/>
      <c r="EC16" s="18"/>
      <c r="ED16" s="18"/>
      <c r="EE16" s="18"/>
      <c r="EF16" s="18"/>
      <c r="EG16" s="18"/>
      <c r="EH16" s="18"/>
      <c r="EI16" s="18"/>
      <c r="EJ16" s="18"/>
      <c r="EK16" s="18"/>
      <c r="EL16" s="18"/>
      <c r="EM16" s="18"/>
      <c r="EN16" s="18"/>
      <c r="EO16" s="18"/>
      <c r="EP16" s="18"/>
      <c r="EQ16" s="18"/>
      <c r="ER16" s="18"/>
      <c r="ES16" s="18"/>
      <c r="ET16" s="18"/>
      <c r="EU16" s="18"/>
      <c r="EV16" s="18"/>
      <c r="EW16" s="18"/>
      <c r="EX16" s="18"/>
      <c r="EY16" s="18"/>
      <c r="EZ16" s="18"/>
      <c r="FA16" s="18"/>
      <c r="FB16" s="18"/>
      <c r="FC16" s="18"/>
      <c r="FD16" s="18"/>
      <c r="FE16" s="18"/>
      <c r="FF16" s="18"/>
      <c r="FG16" s="18"/>
      <c r="FH16" s="18"/>
      <c r="FI16" s="18"/>
      <c r="FJ16" s="18"/>
      <c r="FK16" s="18"/>
      <c r="FL16" s="18"/>
      <c r="FM16" s="18"/>
      <c r="FN16" s="18"/>
      <c r="FO16" s="18"/>
      <c r="FP16" s="18"/>
      <c r="FQ16" s="18"/>
      <c r="FR16" s="18"/>
      <c r="FS16" s="18"/>
      <c r="FT16" s="18"/>
      <c r="FU16" s="18"/>
      <c r="FV16" s="18"/>
      <c r="FW16" s="18"/>
      <c r="FX16" s="18"/>
      <c r="FY16" s="18"/>
      <c r="FZ16" s="18"/>
      <c r="GA16" s="18"/>
      <c r="GB16" s="18"/>
      <c r="GC16" s="18"/>
      <c r="GD16" s="18"/>
      <c r="GE16" s="18"/>
      <c r="GF16" s="18"/>
      <c r="GG16" s="18"/>
      <c r="GH16" s="18"/>
      <c r="GI16" s="18"/>
      <c r="GJ16" s="18"/>
      <c r="GK16" s="18"/>
      <c r="GL16" s="18"/>
      <c r="GM16" s="18"/>
      <c r="GN16" s="18"/>
      <c r="GO16" s="18"/>
      <c r="GP16" s="18"/>
      <c r="GQ16" s="18"/>
      <c r="GR16" s="18"/>
      <c r="GS16" s="18"/>
      <c r="GT16" s="18"/>
      <c r="GU16" s="18"/>
      <c r="GV16" s="18"/>
      <c r="GW16" s="18"/>
      <c r="GX16" s="18"/>
      <c r="GY16" s="18"/>
      <c r="GZ16" s="18"/>
      <c r="HA16" s="18"/>
      <c r="HB16" s="18"/>
      <c r="HC16" s="18"/>
      <c r="HD16" s="18"/>
      <c r="HE16" s="18"/>
      <c r="HF16" s="18"/>
      <c r="HG16" s="18"/>
      <c r="HH16" s="18"/>
      <c r="HI16" s="18"/>
      <c r="HJ16" s="18"/>
      <c r="HK16" s="18"/>
      <c r="HL16" s="18"/>
      <c r="HM16" s="18"/>
      <c r="HN16" s="18"/>
      <c r="HO16" s="18"/>
      <c r="HP16" s="18"/>
      <c r="HQ16" s="18"/>
      <c r="HR16" s="18"/>
      <c r="HS16" s="18"/>
      <c r="HT16" s="18"/>
      <c r="HU16" s="18"/>
      <c r="HV16" s="18"/>
      <c r="HW16" s="18"/>
    </row>
    <row r="17" spans="1:231" s="2" customFormat="1" ht="30" customHeight="1" thickBot="1" x14ac:dyDescent="0.35">
      <c r="A17" s="32"/>
      <c r="B17" s="39" t="s">
        <v>50</v>
      </c>
      <c r="C17" s="12"/>
      <c r="D17" s="47">
        <f>D16</f>
        <v>46027</v>
      </c>
      <c r="E17" s="47">
        <f>D17+14</f>
        <v>46041</v>
      </c>
      <c r="F17" s="10"/>
      <c r="G17" s="10"/>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row>
    <row r="18" spans="1:231" s="2" customFormat="1" ht="30" customHeight="1" thickBot="1" x14ac:dyDescent="0.35">
      <c r="A18" s="32"/>
      <c r="B18" s="39" t="s">
        <v>44</v>
      </c>
      <c r="C18" s="12"/>
      <c r="D18" s="47">
        <f>E17</f>
        <v>46041</v>
      </c>
      <c r="E18" s="47">
        <f>D18+14</f>
        <v>46055</v>
      </c>
      <c r="F18" s="10"/>
      <c r="G18" s="10"/>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row>
    <row r="19" spans="1:231" s="2" customFormat="1" ht="30" customHeight="1" thickBot="1" x14ac:dyDescent="0.35">
      <c r="A19" s="32"/>
      <c r="B19" s="39" t="s">
        <v>43</v>
      </c>
      <c r="C19" s="12"/>
      <c r="D19" s="47">
        <f>E18</f>
        <v>46055</v>
      </c>
      <c r="E19" s="47">
        <f>E18+14</f>
        <v>46069</v>
      </c>
      <c r="F19" s="10"/>
      <c r="G19" s="10"/>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8"/>
      <c r="DG19" s="18"/>
      <c r="DH19" s="18"/>
      <c r="DI19" s="18"/>
      <c r="DJ19" s="18"/>
      <c r="DK19" s="18"/>
      <c r="DL19" s="18"/>
      <c r="DM19" s="18"/>
      <c r="DN19" s="18"/>
      <c r="DO19" s="18"/>
      <c r="DP19" s="18"/>
      <c r="DQ19" s="18"/>
      <c r="DR19" s="18"/>
      <c r="DS19" s="18"/>
      <c r="DT19" s="18"/>
      <c r="DU19" s="18"/>
      <c r="DV19" s="18"/>
      <c r="DW19" s="18"/>
      <c r="DX19" s="18"/>
      <c r="DY19" s="18"/>
      <c r="DZ19" s="18"/>
      <c r="EA19" s="18"/>
      <c r="EB19" s="18"/>
      <c r="EC19" s="18"/>
      <c r="ED19" s="18"/>
      <c r="EE19" s="18"/>
      <c r="EF19" s="18"/>
      <c r="EG19" s="18"/>
      <c r="EH19" s="18"/>
      <c r="EI19" s="18"/>
      <c r="EJ19" s="18"/>
      <c r="EK19" s="18"/>
      <c r="EL19" s="18"/>
      <c r="EM19" s="18"/>
      <c r="EN19" s="18"/>
      <c r="EO19" s="18"/>
      <c r="EP19" s="18"/>
      <c r="EQ19" s="18"/>
      <c r="ER19" s="18"/>
      <c r="ES19" s="18"/>
      <c r="ET19" s="18"/>
      <c r="EU19" s="18"/>
      <c r="EV19" s="18"/>
      <c r="EW19" s="18"/>
      <c r="EX19" s="18"/>
      <c r="EY19" s="18"/>
      <c r="EZ19" s="18"/>
      <c r="FA19" s="18"/>
      <c r="FB19" s="18"/>
      <c r="FC19" s="18"/>
      <c r="FD19" s="18"/>
      <c r="FE19" s="18"/>
      <c r="FF19" s="18"/>
      <c r="FG19" s="18"/>
      <c r="FH19" s="18"/>
      <c r="FI19" s="18"/>
      <c r="FJ19" s="18"/>
      <c r="FK19" s="18"/>
      <c r="FL19" s="18"/>
      <c r="FM19" s="18"/>
      <c r="FN19" s="18"/>
      <c r="FO19" s="18"/>
      <c r="FP19" s="18"/>
      <c r="FQ19" s="18"/>
      <c r="FR19" s="18"/>
      <c r="FS19" s="18"/>
      <c r="FT19" s="18"/>
      <c r="FU19" s="18"/>
      <c r="FV19" s="18"/>
      <c r="FW19" s="18"/>
      <c r="FX19" s="18"/>
      <c r="FY19" s="18"/>
      <c r="FZ19" s="18"/>
      <c r="GA19" s="18"/>
      <c r="GB19" s="18"/>
      <c r="GC19" s="18"/>
      <c r="GD19" s="18"/>
      <c r="GE19" s="18"/>
      <c r="GF19" s="18"/>
      <c r="GG19" s="18"/>
      <c r="GH19" s="18"/>
      <c r="GI19" s="18"/>
      <c r="GJ19" s="18"/>
      <c r="GK19" s="18"/>
      <c r="GL19" s="18"/>
      <c r="GM19" s="18"/>
      <c r="GN19" s="18"/>
      <c r="GO19" s="18"/>
      <c r="GP19" s="18"/>
      <c r="GQ19" s="18"/>
      <c r="GR19" s="18"/>
      <c r="GS19" s="18"/>
      <c r="GT19" s="18"/>
      <c r="GU19" s="18"/>
      <c r="GV19" s="18"/>
      <c r="GW19" s="18"/>
      <c r="GX19" s="18"/>
      <c r="GY19" s="18"/>
      <c r="GZ19" s="18"/>
      <c r="HA19" s="18"/>
      <c r="HB19" s="18"/>
      <c r="HC19" s="18"/>
      <c r="HD19" s="18"/>
      <c r="HE19" s="18"/>
      <c r="HF19" s="18"/>
      <c r="HG19" s="18"/>
      <c r="HH19" s="18"/>
      <c r="HI19" s="18"/>
      <c r="HJ19" s="18"/>
      <c r="HK19" s="18"/>
      <c r="HL19" s="18"/>
      <c r="HM19" s="18"/>
      <c r="HN19" s="18"/>
      <c r="HO19" s="18"/>
      <c r="HP19" s="18"/>
      <c r="HQ19" s="18"/>
      <c r="HR19" s="18"/>
      <c r="HS19" s="18"/>
      <c r="HT19" s="18"/>
      <c r="HU19" s="18"/>
      <c r="HV19" s="18"/>
      <c r="HW19" s="18"/>
    </row>
    <row r="20" spans="1:231" s="2" customFormat="1" ht="30" customHeight="1" thickBot="1" x14ac:dyDescent="0.35">
      <c r="A20" s="32"/>
      <c r="B20" s="40" t="s">
        <v>37</v>
      </c>
      <c r="C20" s="13"/>
      <c r="D20" s="47">
        <f>E19</f>
        <v>46069</v>
      </c>
      <c r="E20" s="47">
        <v>46096</v>
      </c>
      <c r="F20" s="10"/>
      <c r="G20" s="10">
        <f t="shared" si="163"/>
        <v>28</v>
      </c>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8"/>
      <c r="DG20" s="18"/>
      <c r="DH20" s="18"/>
      <c r="DI20" s="18"/>
      <c r="DJ20" s="18"/>
      <c r="DK20" s="18"/>
      <c r="DL20" s="18"/>
      <c r="DM20" s="18"/>
      <c r="DN20" s="18"/>
      <c r="DO20" s="18"/>
      <c r="DP20" s="18"/>
      <c r="DQ20" s="18"/>
      <c r="DR20" s="18"/>
      <c r="DS20" s="18"/>
      <c r="DT20" s="18"/>
      <c r="DU20" s="18"/>
      <c r="DV20" s="18"/>
      <c r="DW20" s="18"/>
      <c r="DX20" s="18"/>
      <c r="DY20" s="18"/>
      <c r="DZ20" s="18"/>
      <c r="EA20" s="18"/>
      <c r="EB20" s="18"/>
      <c r="EC20" s="18"/>
      <c r="ED20" s="18"/>
      <c r="EE20" s="18"/>
      <c r="EF20" s="18"/>
      <c r="EG20" s="18"/>
      <c r="EH20" s="18"/>
      <c r="EI20" s="18"/>
      <c r="EJ20" s="18"/>
      <c r="EK20" s="18"/>
      <c r="EL20" s="18"/>
      <c r="EM20" s="18"/>
      <c r="EN20" s="18"/>
      <c r="EO20" s="18"/>
      <c r="EP20" s="18"/>
      <c r="EQ20" s="18"/>
      <c r="ER20" s="18"/>
      <c r="ES20" s="18"/>
      <c r="ET20" s="18"/>
      <c r="EU20" s="18"/>
      <c r="EV20" s="18"/>
      <c r="EW20" s="18"/>
      <c r="EX20" s="18"/>
      <c r="EY20" s="18"/>
      <c r="EZ20" s="18"/>
      <c r="FA20" s="18"/>
      <c r="FB20" s="18"/>
      <c r="FC20" s="18"/>
      <c r="FD20" s="18"/>
      <c r="FE20" s="18"/>
      <c r="FF20" s="18"/>
      <c r="FG20" s="18"/>
      <c r="FH20" s="18"/>
      <c r="FI20" s="18"/>
      <c r="FJ20" s="18"/>
      <c r="FK20" s="18"/>
      <c r="FL20" s="18"/>
      <c r="FM20" s="18"/>
      <c r="FN20" s="18"/>
      <c r="FO20" s="18"/>
      <c r="FP20" s="18"/>
      <c r="FQ20" s="18"/>
      <c r="FR20" s="18"/>
      <c r="FS20" s="18"/>
      <c r="FT20" s="18"/>
      <c r="FU20" s="18"/>
      <c r="FV20" s="18"/>
      <c r="FW20" s="18"/>
      <c r="FX20" s="18"/>
      <c r="FY20" s="18"/>
      <c r="FZ20" s="18"/>
      <c r="GA20" s="18"/>
      <c r="GB20" s="18"/>
      <c r="GC20" s="18"/>
      <c r="GD20" s="18"/>
      <c r="GE20" s="18"/>
      <c r="GF20" s="18"/>
      <c r="GG20" s="18"/>
      <c r="GH20" s="18"/>
      <c r="GI20" s="18"/>
      <c r="GJ20" s="18"/>
      <c r="GK20" s="18"/>
      <c r="GL20" s="18"/>
      <c r="GM20" s="18"/>
      <c r="GN20" s="18"/>
      <c r="GO20" s="18"/>
      <c r="GP20" s="18"/>
      <c r="GQ20" s="18"/>
      <c r="GR20" s="18"/>
      <c r="GS20" s="18"/>
      <c r="GT20" s="18"/>
      <c r="GU20" s="18"/>
      <c r="GV20" s="18"/>
      <c r="GW20" s="18"/>
      <c r="GX20" s="18"/>
      <c r="GY20" s="18"/>
      <c r="GZ20" s="18"/>
      <c r="HA20" s="18"/>
      <c r="HB20" s="18"/>
      <c r="HC20" s="18"/>
      <c r="HD20" s="18"/>
      <c r="HE20" s="18"/>
      <c r="HF20" s="18"/>
      <c r="HG20" s="18"/>
      <c r="HH20" s="18"/>
      <c r="HI20" s="18"/>
      <c r="HJ20" s="18"/>
      <c r="HK20" s="18"/>
      <c r="HL20" s="18"/>
      <c r="HM20" s="18"/>
      <c r="HN20" s="18"/>
      <c r="HO20" s="18"/>
      <c r="HP20" s="18"/>
      <c r="HQ20" s="18"/>
      <c r="HR20" s="18"/>
      <c r="HS20" s="18"/>
      <c r="HT20" s="18"/>
      <c r="HU20" s="18"/>
      <c r="HV20" s="18"/>
      <c r="HW20" s="18"/>
    </row>
    <row r="21" spans="1:231" s="2" customFormat="1" ht="30" customHeight="1" thickBot="1" x14ac:dyDescent="0.35">
      <c r="A21" s="32"/>
      <c r="B21" s="40" t="s">
        <v>46</v>
      </c>
      <c r="C21" s="13"/>
      <c r="D21" s="47">
        <f>E19</f>
        <v>46069</v>
      </c>
      <c r="E21" s="47">
        <v>46096</v>
      </c>
      <c r="F21" s="10"/>
      <c r="G21" s="10">
        <f t="shared" si="163"/>
        <v>28</v>
      </c>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c r="EH21" s="18"/>
      <c r="EI21" s="18"/>
      <c r="EJ21" s="18"/>
      <c r="EK21" s="18"/>
      <c r="EL21" s="18"/>
      <c r="EM21" s="18"/>
      <c r="EN21" s="18"/>
      <c r="EO21" s="18"/>
      <c r="EP21" s="18"/>
      <c r="EQ21" s="18"/>
      <c r="ER21" s="18"/>
      <c r="ES21" s="18"/>
      <c r="ET21" s="18"/>
      <c r="EU21" s="18"/>
      <c r="EV21" s="18"/>
      <c r="EW21" s="18"/>
      <c r="EX21" s="18"/>
      <c r="EY21" s="18"/>
      <c r="EZ21" s="18"/>
      <c r="FA21" s="18"/>
      <c r="FB21" s="18"/>
      <c r="FC21" s="18"/>
      <c r="FD21" s="18"/>
      <c r="FE21" s="18"/>
      <c r="FF21" s="18"/>
      <c r="FG21" s="18"/>
      <c r="FH21" s="18"/>
      <c r="FI21" s="18"/>
      <c r="FJ21" s="18"/>
      <c r="FK21" s="18"/>
      <c r="FL21" s="18"/>
      <c r="FM21" s="18"/>
      <c r="FN21" s="18"/>
      <c r="FO21" s="18"/>
      <c r="FP21" s="18"/>
      <c r="FQ21" s="18"/>
      <c r="FR21" s="18"/>
      <c r="FS21" s="18"/>
      <c r="FT21" s="18"/>
      <c r="FU21" s="18"/>
      <c r="FV21" s="18"/>
      <c r="FW21" s="18"/>
      <c r="FX21" s="18"/>
      <c r="FY21" s="18"/>
      <c r="FZ21" s="18"/>
      <c r="GA21" s="18"/>
      <c r="GB21" s="18"/>
      <c r="GC21" s="18"/>
      <c r="GD21" s="18"/>
      <c r="GE21" s="18"/>
      <c r="GF21" s="18"/>
      <c r="GG21" s="18"/>
      <c r="GH21" s="18"/>
      <c r="GI21" s="18"/>
      <c r="GJ21" s="18"/>
      <c r="GK21" s="18"/>
      <c r="GL21" s="18"/>
      <c r="GM21" s="18"/>
      <c r="GN21" s="18"/>
      <c r="GO21" s="18"/>
      <c r="GP21" s="18"/>
      <c r="GQ21" s="18"/>
      <c r="GR21" s="18"/>
      <c r="GS21" s="18"/>
      <c r="GT21" s="18"/>
      <c r="GU21" s="18"/>
      <c r="GV21" s="18"/>
      <c r="GW21" s="18"/>
      <c r="GX21" s="18"/>
      <c r="GY21" s="18"/>
      <c r="GZ21" s="18"/>
      <c r="HA21" s="18"/>
      <c r="HB21" s="18"/>
      <c r="HC21" s="18"/>
      <c r="HD21" s="18"/>
      <c r="HE21" s="18"/>
      <c r="HF21" s="18"/>
      <c r="HG21" s="18"/>
      <c r="HH21" s="18"/>
      <c r="HI21" s="18"/>
      <c r="HJ21" s="18"/>
      <c r="HK21" s="18"/>
      <c r="HL21" s="18"/>
      <c r="HM21" s="18"/>
      <c r="HN21" s="18"/>
      <c r="HO21" s="18"/>
      <c r="HP21" s="18"/>
      <c r="HQ21" s="18"/>
      <c r="HR21" s="18"/>
      <c r="HS21" s="18"/>
      <c r="HT21" s="18"/>
      <c r="HU21" s="18"/>
      <c r="HV21" s="18"/>
      <c r="HW21" s="18"/>
    </row>
    <row r="22" spans="1:231" s="2" customFormat="1" ht="30" customHeight="1" thickBot="1" x14ac:dyDescent="0.35">
      <c r="A22" s="32"/>
      <c r="B22" s="40" t="s">
        <v>47</v>
      </c>
      <c r="C22" s="13"/>
      <c r="D22" s="47">
        <v>46096</v>
      </c>
      <c r="E22" s="47">
        <v>46132</v>
      </c>
      <c r="F22" s="10"/>
      <c r="G22" s="10">
        <f t="shared" si="163"/>
        <v>37</v>
      </c>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8"/>
      <c r="DP22" s="18"/>
      <c r="DQ22" s="18"/>
      <c r="DR22" s="18"/>
      <c r="DS22" s="18"/>
      <c r="DT22" s="18"/>
      <c r="DU22" s="18"/>
      <c r="DV22" s="18"/>
      <c r="DW22" s="18"/>
      <c r="DX22" s="18"/>
      <c r="DY22" s="18"/>
      <c r="DZ22" s="18"/>
      <c r="EA22" s="18"/>
      <c r="EB22" s="18"/>
      <c r="EC22" s="18"/>
      <c r="ED22" s="18"/>
      <c r="EE22" s="18"/>
      <c r="EF22" s="18"/>
      <c r="EG22" s="18"/>
      <c r="EH22" s="18"/>
      <c r="EI22" s="18"/>
      <c r="EJ22" s="18"/>
      <c r="EK22" s="18"/>
      <c r="EL22" s="18"/>
      <c r="EM22" s="18"/>
      <c r="EN22" s="18"/>
      <c r="EO22" s="18"/>
      <c r="EP22" s="18"/>
      <c r="EQ22" s="18"/>
      <c r="ER22" s="18"/>
      <c r="ES22" s="18"/>
      <c r="ET22" s="18"/>
      <c r="EU22" s="18"/>
      <c r="EV22" s="18"/>
      <c r="EW22" s="18"/>
      <c r="EX22" s="18"/>
      <c r="EY22" s="18"/>
      <c r="EZ22" s="18"/>
      <c r="FA22" s="18"/>
      <c r="FB22" s="18"/>
      <c r="FC22" s="18"/>
      <c r="FD22" s="18"/>
      <c r="FE22" s="18"/>
      <c r="FF22" s="18"/>
      <c r="FG22" s="18"/>
      <c r="FH22" s="18"/>
      <c r="FI22" s="18"/>
      <c r="FJ22" s="18"/>
      <c r="FK22" s="18"/>
      <c r="FL22" s="18"/>
      <c r="FM22" s="18"/>
      <c r="FN22" s="18"/>
      <c r="FO22" s="18"/>
      <c r="FP22" s="18"/>
      <c r="FQ22" s="18"/>
      <c r="FR22" s="18"/>
      <c r="FS22" s="18"/>
      <c r="FT22" s="18"/>
      <c r="FU22" s="18"/>
      <c r="FV22" s="18"/>
      <c r="FW22" s="18"/>
      <c r="FX22" s="18"/>
      <c r="FY22" s="18"/>
      <c r="FZ22" s="18"/>
      <c r="GA22" s="18"/>
      <c r="GB22" s="18"/>
      <c r="GC22" s="18"/>
      <c r="GD22" s="18"/>
      <c r="GE22" s="18"/>
      <c r="GF22" s="18"/>
      <c r="GG22" s="18"/>
      <c r="GH22" s="18"/>
      <c r="GI22" s="18"/>
      <c r="GJ22" s="18"/>
      <c r="GK22" s="18"/>
      <c r="GL22" s="18"/>
      <c r="GM22" s="18"/>
      <c r="GN22" s="18"/>
      <c r="GO22" s="18"/>
      <c r="GP22" s="18"/>
      <c r="GQ22" s="18"/>
      <c r="GR22" s="18"/>
      <c r="GS22" s="18"/>
      <c r="GT22" s="18"/>
      <c r="GU22" s="18"/>
      <c r="GV22" s="18"/>
      <c r="GW22" s="18"/>
      <c r="GX22" s="18"/>
      <c r="GY22" s="18"/>
      <c r="GZ22" s="18"/>
      <c r="HA22" s="18"/>
      <c r="HB22" s="18"/>
      <c r="HC22" s="18"/>
      <c r="HD22" s="18"/>
      <c r="HE22" s="18"/>
      <c r="HF22" s="18"/>
      <c r="HG22" s="18"/>
      <c r="HH22" s="18"/>
      <c r="HI22" s="18"/>
      <c r="HJ22" s="18"/>
      <c r="HK22" s="18"/>
      <c r="HL22" s="18"/>
      <c r="HM22" s="18"/>
      <c r="HN22" s="18"/>
      <c r="HO22" s="18"/>
      <c r="HP22" s="18"/>
      <c r="HQ22" s="18"/>
      <c r="HR22" s="18"/>
      <c r="HS22" s="18"/>
      <c r="HT22" s="18"/>
      <c r="HU22" s="18"/>
      <c r="HV22" s="18"/>
      <c r="HW22" s="18"/>
    </row>
    <row r="23" spans="1:231" s="2" customFormat="1" ht="30" customHeight="1" thickBot="1" x14ac:dyDescent="0.35">
      <c r="A23" s="32"/>
      <c r="B23" s="41" t="s">
        <v>35</v>
      </c>
      <c r="C23" s="14"/>
      <c r="D23" s="47">
        <v>46149</v>
      </c>
      <c r="E23" s="47">
        <v>46149</v>
      </c>
      <c r="F23" s="10"/>
      <c r="G23" s="10">
        <f t="shared" si="163"/>
        <v>1</v>
      </c>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8"/>
      <c r="DG23" s="18"/>
      <c r="DH23" s="18"/>
      <c r="DI23" s="18"/>
      <c r="DJ23" s="18"/>
      <c r="DK23" s="18"/>
      <c r="DL23" s="18"/>
      <c r="DM23" s="18"/>
      <c r="DN23" s="18"/>
      <c r="DO23" s="18"/>
      <c r="DP23" s="18"/>
      <c r="DQ23" s="18"/>
      <c r="DR23" s="18"/>
      <c r="DS23" s="18"/>
      <c r="DT23" s="18"/>
      <c r="DU23" s="18"/>
      <c r="DV23" s="18"/>
      <c r="DW23" s="18"/>
      <c r="DX23" s="18"/>
      <c r="DY23" s="18"/>
      <c r="DZ23" s="18"/>
      <c r="EA23" s="18"/>
      <c r="EB23" s="18"/>
      <c r="EC23" s="18"/>
      <c r="ED23" s="18"/>
      <c r="EE23" s="18"/>
      <c r="EF23" s="18"/>
      <c r="EG23" s="18"/>
      <c r="EH23" s="18"/>
      <c r="EI23" s="18"/>
      <c r="EJ23" s="18"/>
      <c r="EK23" s="18"/>
      <c r="EL23" s="18"/>
      <c r="EM23" s="18"/>
      <c r="EN23" s="18"/>
      <c r="EO23" s="18"/>
      <c r="EP23" s="18"/>
      <c r="EQ23" s="18"/>
      <c r="ER23" s="18"/>
      <c r="ES23" s="18"/>
      <c r="ET23" s="18"/>
      <c r="EU23" s="18"/>
      <c r="EV23" s="18"/>
      <c r="EW23" s="18"/>
      <c r="EX23" s="18"/>
      <c r="EY23" s="18"/>
      <c r="EZ23" s="18"/>
      <c r="FA23" s="18"/>
      <c r="FB23" s="18"/>
      <c r="FC23" s="18"/>
      <c r="FD23" s="18"/>
      <c r="FE23" s="18"/>
      <c r="FF23" s="18"/>
      <c r="FG23" s="18"/>
      <c r="FH23" s="18"/>
      <c r="FI23" s="18"/>
      <c r="FJ23" s="18"/>
      <c r="FK23" s="18"/>
      <c r="FL23" s="18"/>
      <c r="FM23" s="18"/>
      <c r="FN23" s="18"/>
      <c r="FO23" s="18"/>
      <c r="FP23" s="18"/>
      <c r="FQ23" s="18"/>
      <c r="FR23" s="18"/>
      <c r="FS23" s="18"/>
      <c r="FT23" s="18"/>
      <c r="FU23" s="18"/>
      <c r="FV23" s="18"/>
      <c r="FW23" s="18"/>
      <c r="FX23" s="18"/>
      <c r="FY23" s="18"/>
      <c r="FZ23" s="18"/>
      <c r="GA23" s="18"/>
      <c r="GB23" s="18"/>
      <c r="GC23" s="18"/>
      <c r="GD23" s="18"/>
      <c r="GE23" s="18"/>
      <c r="GF23" s="18"/>
      <c r="GG23" s="18"/>
      <c r="GH23" s="18"/>
      <c r="GI23" s="18"/>
      <c r="GJ23" s="18"/>
      <c r="GK23" s="18"/>
      <c r="GL23" s="18"/>
      <c r="GM23" s="18"/>
      <c r="GN23" s="18"/>
      <c r="GO23" s="18"/>
      <c r="GP23" s="18"/>
      <c r="GQ23" s="18"/>
      <c r="GR23" s="18"/>
      <c r="GS23" s="18"/>
      <c r="GT23" s="18"/>
      <c r="GU23" s="18"/>
      <c r="GV23" s="18"/>
      <c r="GW23" s="18"/>
      <c r="GX23" s="18"/>
      <c r="GY23" s="18"/>
      <c r="GZ23" s="18"/>
      <c r="HA23" s="18"/>
      <c r="HB23" s="18"/>
      <c r="HC23" s="18"/>
      <c r="HD23" s="18"/>
      <c r="HE23" s="18"/>
      <c r="HF23" s="18"/>
      <c r="HG23" s="18"/>
      <c r="HH23" s="18"/>
      <c r="HI23" s="18"/>
      <c r="HJ23" s="18"/>
      <c r="HK23" s="18"/>
      <c r="HL23" s="18"/>
      <c r="HM23" s="18"/>
      <c r="HN23" s="18"/>
      <c r="HO23" s="18"/>
      <c r="HP23" s="18"/>
      <c r="HQ23" s="18"/>
      <c r="HR23" s="18"/>
      <c r="HS23" s="18"/>
      <c r="HT23" s="18"/>
      <c r="HU23" s="18"/>
      <c r="HV23" s="18"/>
      <c r="HW23" s="18"/>
    </row>
    <row r="24" spans="1:231" s="2" customFormat="1" ht="30" customHeight="1" thickBot="1" x14ac:dyDescent="0.35">
      <c r="A24" s="32"/>
      <c r="B24" s="41" t="s">
        <v>36</v>
      </c>
      <c r="C24" s="14"/>
      <c r="D24" s="47">
        <v>46153</v>
      </c>
      <c r="E24" s="47">
        <v>46153</v>
      </c>
      <c r="F24" s="10"/>
      <c r="G24" s="10">
        <f t="shared" si="163"/>
        <v>1</v>
      </c>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8"/>
      <c r="DP24" s="18"/>
      <c r="DQ24" s="18"/>
      <c r="DR24" s="18"/>
      <c r="DS24" s="18"/>
      <c r="DT24" s="18"/>
      <c r="DU24" s="18"/>
      <c r="DV24" s="18"/>
      <c r="DW24" s="18"/>
      <c r="DX24" s="18"/>
      <c r="DY24" s="18"/>
      <c r="DZ24" s="18"/>
      <c r="EA24" s="18"/>
      <c r="EB24" s="18"/>
      <c r="EC24" s="18"/>
      <c r="ED24" s="18"/>
      <c r="EE24" s="18"/>
      <c r="EF24" s="18"/>
      <c r="EG24" s="18"/>
      <c r="EH24" s="18"/>
      <c r="EI24" s="18"/>
      <c r="EJ24" s="18"/>
      <c r="EK24" s="18"/>
      <c r="EL24" s="18"/>
      <c r="EM24" s="18"/>
      <c r="EN24" s="18"/>
      <c r="EO24" s="18"/>
      <c r="EP24" s="18"/>
      <c r="EQ24" s="18"/>
      <c r="ER24" s="18"/>
      <c r="ES24" s="18"/>
      <c r="ET24" s="18"/>
      <c r="EU24" s="18"/>
      <c r="EV24" s="18"/>
      <c r="EW24" s="18"/>
      <c r="EX24" s="18"/>
      <c r="EY24" s="18"/>
      <c r="EZ24" s="18"/>
      <c r="FA24" s="18"/>
      <c r="FB24" s="18"/>
      <c r="FC24" s="18"/>
      <c r="FD24" s="18"/>
      <c r="FE24" s="18"/>
      <c r="FF24" s="18"/>
      <c r="FG24" s="18"/>
      <c r="FH24" s="18"/>
      <c r="FI24" s="18"/>
      <c r="FJ24" s="18"/>
      <c r="FK24" s="18"/>
      <c r="FL24" s="18"/>
      <c r="FM24" s="18"/>
      <c r="FN24" s="18"/>
      <c r="FO24" s="18"/>
      <c r="FP24" s="18"/>
      <c r="FQ24" s="18"/>
      <c r="FR24" s="18"/>
      <c r="FS24" s="18"/>
      <c r="FT24" s="18"/>
      <c r="FU24" s="18"/>
      <c r="FV24" s="18"/>
      <c r="FW24" s="18"/>
      <c r="FX24" s="18"/>
      <c r="FY24" s="18"/>
      <c r="FZ24" s="18"/>
      <c r="GA24" s="18"/>
      <c r="GB24" s="18"/>
      <c r="GC24" s="18"/>
      <c r="GD24" s="18"/>
      <c r="GE24" s="18"/>
      <c r="GF24" s="18"/>
      <c r="GG24" s="18"/>
      <c r="GH24" s="18"/>
      <c r="GI24" s="18"/>
      <c r="GJ24" s="18"/>
      <c r="GK24" s="18"/>
      <c r="GL24" s="18"/>
      <c r="GM24" s="18"/>
      <c r="GN24" s="18"/>
      <c r="GO24" s="18"/>
      <c r="GP24" s="18"/>
      <c r="GQ24" s="18"/>
      <c r="GR24" s="18"/>
      <c r="GS24" s="18"/>
      <c r="GT24" s="18"/>
      <c r="GU24" s="18"/>
      <c r="GV24" s="18"/>
      <c r="GW24" s="18"/>
      <c r="GX24" s="18"/>
      <c r="GY24" s="18"/>
      <c r="GZ24" s="18"/>
      <c r="HA24" s="18"/>
      <c r="HB24" s="18"/>
      <c r="HC24" s="18"/>
      <c r="HD24" s="18"/>
      <c r="HE24" s="18"/>
      <c r="HF24" s="18"/>
      <c r="HG24" s="18"/>
      <c r="HH24" s="18"/>
      <c r="HI24" s="18"/>
      <c r="HJ24" s="18"/>
      <c r="HK24" s="18"/>
      <c r="HL24" s="18"/>
      <c r="HM24" s="18"/>
      <c r="HN24" s="18"/>
      <c r="HO24" s="18"/>
      <c r="HP24" s="18"/>
      <c r="HQ24" s="18"/>
      <c r="HR24" s="18"/>
      <c r="HS24" s="18"/>
      <c r="HT24" s="18"/>
      <c r="HU24" s="18"/>
      <c r="HV24" s="18"/>
      <c r="HW24" s="18"/>
    </row>
    <row r="25" spans="1:231" s="2" customFormat="1" ht="30" customHeight="1" thickBot="1" x14ac:dyDescent="0.35">
      <c r="A25" s="32" t="s">
        <v>8</v>
      </c>
      <c r="B25" s="42"/>
      <c r="C25" s="9"/>
      <c r="D25" s="48"/>
      <c r="E25" s="48"/>
      <c r="F25" s="10"/>
      <c r="G25" s="10" t="str">
        <f t="shared" si="163"/>
        <v/>
      </c>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8"/>
      <c r="DP25" s="18"/>
      <c r="DQ25" s="18"/>
      <c r="DR25" s="18"/>
      <c r="DS25" s="18"/>
      <c r="DT25" s="18"/>
      <c r="DU25" s="18"/>
      <c r="DV25" s="18"/>
      <c r="DW25" s="18"/>
      <c r="DX25" s="18"/>
      <c r="DY25" s="18"/>
      <c r="DZ25" s="18"/>
      <c r="EA25" s="18"/>
      <c r="EB25" s="18"/>
      <c r="EC25" s="18"/>
      <c r="ED25" s="18"/>
      <c r="EE25" s="18"/>
      <c r="EF25" s="18"/>
      <c r="EG25" s="18"/>
      <c r="EH25" s="18"/>
      <c r="EI25" s="18"/>
      <c r="EJ25" s="18"/>
      <c r="EK25" s="18"/>
      <c r="EL25" s="18"/>
      <c r="EM25" s="18"/>
      <c r="EN25" s="18"/>
      <c r="EO25" s="18"/>
      <c r="EP25" s="18"/>
      <c r="EQ25" s="18"/>
      <c r="ER25" s="18"/>
      <c r="ES25" s="18"/>
      <c r="ET25" s="18"/>
      <c r="EU25" s="18"/>
      <c r="EV25" s="18"/>
      <c r="EW25" s="18"/>
      <c r="EX25" s="18"/>
      <c r="EY25" s="18"/>
      <c r="EZ25" s="18"/>
      <c r="FA25" s="18"/>
      <c r="FB25" s="18"/>
      <c r="FC25" s="18"/>
      <c r="FD25" s="18"/>
      <c r="FE25" s="18"/>
      <c r="FF25" s="18"/>
      <c r="FG25" s="18"/>
      <c r="FH25" s="18"/>
      <c r="FI25" s="18"/>
      <c r="FJ25" s="18"/>
      <c r="FK25" s="18"/>
      <c r="FL25" s="18"/>
      <c r="FM25" s="18"/>
      <c r="FN25" s="18"/>
      <c r="FO25" s="18"/>
      <c r="FP25" s="18"/>
      <c r="FQ25" s="18"/>
      <c r="FR25" s="18"/>
      <c r="FS25" s="18"/>
      <c r="FT25" s="18"/>
      <c r="FU25" s="18"/>
      <c r="FV25" s="18"/>
      <c r="FW25" s="18"/>
      <c r="FX25" s="18"/>
      <c r="FY25" s="18"/>
      <c r="FZ25" s="18"/>
      <c r="GA25" s="18"/>
      <c r="GB25" s="18"/>
      <c r="GC25" s="18"/>
      <c r="GD25" s="18"/>
      <c r="GE25" s="18"/>
      <c r="GF25" s="18"/>
      <c r="GG25" s="18"/>
      <c r="GH25" s="18"/>
      <c r="GI25" s="18"/>
      <c r="GJ25" s="18"/>
      <c r="GK25" s="18"/>
      <c r="GL25" s="18"/>
      <c r="GM25" s="18"/>
      <c r="GN25" s="18"/>
      <c r="GO25" s="18"/>
      <c r="GP25" s="18"/>
      <c r="GQ25" s="18"/>
      <c r="GR25" s="18"/>
      <c r="GS25" s="18"/>
      <c r="GT25" s="18"/>
      <c r="GU25" s="18"/>
      <c r="GV25" s="18"/>
      <c r="GW25" s="18"/>
      <c r="GX25" s="18"/>
      <c r="GY25" s="18"/>
      <c r="GZ25" s="18"/>
      <c r="HA25" s="18"/>
      <c r="HB25" s="18"/>
      <c r="HC25" s="18"/>
      <c r="HD25" s="18"/>
      <c r="HE25" s="18"/>
      <c r="HF25" s="18"/>
      <c r="HG25" s="18"/>
      <c r="HH25" s="18"/>
      <c r="HI25" s="18"/>
      <c r="HJ25" s="18"/>
      <c r="HK25" s="18"/>
      <c r="HL25" s="18"/>
      <c r="HM25" s="18"/>
      <c r="HN25" s="18"/>
      <c r="HO25" s="18"/>
      <c r="HP25" s="18"/>
      <c r="HQ25" s="18"/>
      <c r="HR25" s="18"/>
      <c r="HS25" s="18"/>
      <c r="HT25" s="18"/>
      <c r="HU25" s="18"/>
      <c r="HV25" s="18"/>
      <c r="HW25" s="18"/>
    </row>
    <row r="26" spans="1:231" s="2" customFormat="1" ht="30" customHeight="1" thickBot="1" x14ac:dyDescent="0.35">
      <c r="A26" s="33" t="s">
        <v>9</v>
      </c>
      <c r="B26" s="15" t="s">
        <v>11</v>
      </c>
      <c r="C26" s="16"/>
      <c r="D26" s="49"/>
      <c r="E26" s="50"/>
      <c r="F26" s="17"/>
      <c r="G26" s="17" t="str">
        <f t="shared" si="163"/>
        <v/>
      </c>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c r="DI26" s="20"/>
      <c r="DJ26" s="20"/>
      <c r="DK26" s="20"/>
      <c r="DL26" s="20"/>
      <c r="DM26" s="20"/>
      <c r="DN26" s="20"/>
      <c r="DO26" s="20"/>
      <c r="DP26" s="20"/>
      <c r="DQ26" s="20"/>
      <c r="DR26" s="20"/>
      <c r="DS26" s="20"/>
      <c r="DT26" s="20"/>
      <c r="DU26" s="20"/>
      <c r="DV26" s="20"/>
      <c r="DW26" s="20"/>
      <c r="DX26" s="20"/>
      <c r="DY26" s="20"/>
      <c r="DZ26" s="20"/>
      <c r="EA26" s="20"/>
      <c r="EB26" s="20"/>
      <c r="EC26" s="20"/>
      <c r="ED26" s="20"/>
      <c r="EE26" s="20"/>
      <c r="EF26" s="20"/>
      <c r="EG26" s="20"/>
      <c r="EH26" s="20"/>
      <c r="EI26" s="20"/>
      <c r="EJ26" s="20"/>
      <c r="EK26" s="20"/>
      <c r="EL26" s="20"/>
      <c r="EM26" s="20"/>
      <c r="EN26" s="20"/>
      <c r="EO26" s="20"/>
      <c r="EP26" s="20"/>
      <c r="EQ26" s="20"/>
      <c r="ER26" s="20"/>
      <c r="ES26" s="20"/>
      <c r="ET26" s="20"/>
      <c r="EU26" s="20"/>
      <c r="EV26" s="20"/>
      <c r="EW26" s="20"/>
      <c r="EX26" s="20"/>
      <c r="EY26" s="20"/>
      <c r="EZ26" s="20"/>
      <c r="FA26" s="20"/>
      <c r="FB26" s="20"/>
      <c r="FC26" s="20"/>
      <c r="FD26" s="20"/>
      <c r="FE26" s="20"/>
      <c r="FF26" s="20"/>
      <c r="FG26" s="20"/>
      <c r="FH26" s="20"/>
      <c r="FI26" s="20"/>
      <c r="FJ26" s="20"/>
      <c r="FK26" s="20"/>
      <c r="FL26" s="20"/>
      <c r="FM26" s="20"/>
      <c r="FN26" s="20"/>
      <c r="FO26" s="20"/>
      <c r="FP26" s="20"/>
      <c r="FQ26" s="20"/>
      <c r="FR26" s="20"/>
      <c r="FS26" s="20"/>
      <c r="FT26" s="20"/>
      <c r="FU26" s="20"/>
      <c r="FV26" s="20"/>
      <c r="FW26" s="20"/>
      <c r="FX26" s="20"/>
      <c r="FY26" s="20"/>
      <c r="FZ26" s="20"/>
      <c r="GA26" s="20"/>
      <c r="GB26" s="20"/>
      <c r="GC26" s="20"/>
      <c r="GD26" s="20"/>
      <c r="GE26" s="20"/>
      <c r="GF26" s="20"/>
      <c r="GG26" s="20"/>
      <c r="GH26" s="20"/>
      <c r="GI26" s="20"/>
      <c r="GJ26" s="20"/>
      <c r="GK26" s="20"/>
      <c r="GL26" s="20"/>
      <c r="GM26" s="20"/>
      <c r="GN26" s="20"/>
      <c r="GO26" s="20"/>
      <c r="GP26" s="20"/>
      <c r="GQ26" s="20"/>
      <c r="GR26" s="20"/>
      <c r="GS26" s="20"/>
      <c r="GT26" s="20"/>
      <c r="GU26" s="20"/>
      <c r="GV26" s="20"/>
      <c r="GW26" s="20"/>
      <c r="GX26" s="20"/>
      <c r="GY26" s="20"/>
      <c r="GZ26" s="20"/>
      <c r="HA26" s="20"/>
      <c r="HB26" s="20"/>
      <c r="HC26" s="20"/>
      <c r="HD26" s="20"/>
      <c r="HE26" s="20"/>
      <c r="HF26" s="20"/>
      <c r="HG26" s="20"/>
      <c r="HH26" s="20"/>
      <c r="HI26" s="20"/>
      <c r="HJ26" s="20"/>
      <c r="HK26" s="20"/>
      <c r="HL26" s="20"/>
      <c r="HM26" s="20"/>
      <c r="HN26" s="20"/>
      <c r="HO26" s="20"/>
      <c r="HP26" s="20"/>
      <c r="HQ26" s="20"/>
      <c r="HR26" s="20"/>
      <c r="HS26" s="20"/>
      <c r="HT26" s="20"/>
      <c r="HU26" s="20"/>
      <c r="HV26" s="20"/>
      <c r="HW26" s="20"/>
    </row>
    <row r="27" spans="1:231" ht="30" customHeight="1" x14ac:dyDescent="0.3">
      <c r="F27" s="5"/>
    </row>
    <row r="28" spans="1:231" ht="30" customHeight="1" x14ac:dyDescent="0.3">
      <c r="E28" s="34"/>
    </row>
  </sheetData>
  <mergeCells count="33">
    <mergeCell ref="GV4:HB4"/>
    <mergeCell ref="HC4:HI4"/>
    <mergeCell ref="HJ4:HP4"/>
    <mergeCell ref="HQ4:HW4"/>
    <mergeCell ref="FM4:FS4"/>
    <mergeCell ref="FT4:FZ4"/>
    <mergeCell ref="GA4:GG4"/>
    <mergeCell ref="GH4:GN4"/>
    <mergeCell ref="GO4:GU4"/>
    <mergeCell ref="ED4:EJ4"/>
    <mergeCell ref="EK4:EQ4"/>
    <mergeCell ref="ER4:EX4"/>
    <mergeCell ref="EY4:FE4"/>
    <mergeCell ref="FF4:FL4"/>
    <mergeCell ref="CU4:DA4"/>
    <mergeCell ref="DB4:DH4"/>
    <mergeCell ref="DI4:DO4"/>
    <mergeCell ref="DP4:DV4"/>
    <mergeCell ref="DW4:EC4"/>
    <mergeCell ref="BL4:BR4"/>
    <mergeCell ref="BS4:BY4"/>
    <mergeCell ref="BZ4:CF4"/>
    <mergeCell ref="CG4:CM4"/>
    <mergeCell ref="CN4:CT4"/>
    <mergeCell ref="AJ4:AP4"/>
    <mergeCell ref="AQ4:AW4"/>
    <mergeCell ref="AX4:BD4"/>
    <mergeCell ref="BE4:BK4"/>
    <mergeCell ref="D3:E3"/>
    <mergeCell ref="H4:N4"/>
    <mergeCell ref="O4:U4"/>
    <mergeCell ref="V4:AB4"/>
    <mergeCell ref="AC4:AI4"/>
  </mergeCells>
  <conditionalFormatting sqref="C14:C26 C7:C1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HV26">
    <cfRule type="expression" dxfId="4" priority="33">
      <formula>AND(TODAY()&gt;=H$5,TODAY()&lt;I$5)</formula>
    </cfRule>
  </conditionalFormatting>
  <conditionalFormatting sqref="H7:HV26">
    <cfRule type="expression" dxfId="3" priority="28" stopIfTrue="1">
      <formula>AND(task_end&gt;=H$5,task_start&lt;I$5)</formula>
    </cfRule>
  </conditionalFormatting>
  <conditionalFormatting sqref="H7:HW26">
    <cfRule type="expression" dxfId="2" priority="27">
      <formula>AND(task_start&lt;=H$5,ROUNDDOWN((task_end-task_start+1)*task_progress,0)+task_start-1&gt;=H$5)</formula>
    </cfRule>
  </conditionalFormatting>
  <conditionalFormatting sqref="HW5:HW26">
    <cfRule type="expression" dxfId="1" priority="35">
      <formula>AND(TODAY()&gt;=HW$5,TODAY()&lt;#REF!)</formula>
    </cfRule>
  </conditionalFormatting>
  <conditionalFormatting sqref="HW7:HW26">
    <cfRule type="expression" dxfId="0" priority="39" stopIfTrue="1">
      <formula>AND(task_end&gt;=HW$5,task_start&lt;#REF!)</formula>
    </cfRule>
  </conditionalFormatting>
  <dataValidations count="1">
    <dataValidation type="whole" operator="greaterThanOrEqual" allowBlank="1" showInputMessage="1" promptTitle="Display Week" prompt="Changing this number will scroll the Gantt Chart view." sqref="D4" xr:uid="{00000000-0002-0000-0000-000000000000}">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C14:C26 C7:C12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09375" defaultRowHeight="13.8" x14ac:dyDescent="0.3"/>
  <cols>
    <col min="1" max="1" width="87.109375" style="22" customWidth="1"/>
    <col min="2" max="16384" width="9.109375" style="1"/>
  </cols>
  <sheetData>
    <row r="1" spans="1:2" ht="46.5" customHeight="1" x14ac:dyDescent="0.3"/>
    <row r="2" spans="1:2" s="24" customFormat="1" ht="15.6" x14ac:dyDescent="0.3">
      <c r="A2" s="23" t="s">
        <v>16</v>
      </c>
      <c r="B2" s="23"/>
    </row>
    <row r="3" spans="1:2" s="28" customFormat="1" ht="27" customHeight="1" x14ac:dyDescent="0.3">
      <c r="A3" s="46" t="s">
        <v>17</v>
      </c>
      <c r="B3" s="29"/>
    </row>
    <row r="4" spans="1:2" s="25" customFormat="1" ht="25.8" x14ac:dyDescent="0.5">
      <c r="A4" s="26" t="s">
        <v>18</v>
      </c>
    </row>
    <row r="5" spans="1:2" ht="74.099999999999994" customHeight="1" x14ac:dyDescent="0.3">
      <c r="A5" s="27" t="s">
        <v>19</v>
      </c>
    </row>
    <row r="6" spans="1:2" ht="26.25" customHeight="1" x14ac:dyDescent="0.3">
      <c r="A6" s="26" t="s">
        <v>20</v>
      </c>
    </row>
    <row r="7" spans="1:2" s="22" customFormat="1" ht="204.9" customHeight="1" x14ac:dyDescent="0.3">
      <c r="A7" s="31" t="s">
        <v>21</v>
      </c>
    </row>
    <row r="8" spans="1:2" s="25" customFormat="1" ht="25.8" x14ac:dyDescent="0.5">
      <c r="A8" s="26" t="s">
        <v>22</v>
      </c>
    </row>
    <row r="9" spans="1:2" ht="57.6" x14ac:dyDescent="0.3">
      <c r="A9" s="27" t="s">
        <v>23</v>
      </c>
    </row>
    <row r="10" spans="1:2" s="22" customFormat="1" ht="27.9" customHeight="1" x14ac:dyDescent="0.3">
      <c r="A10" s="30" t="s">
        <v>24</v>
      </c>
    </row>
    <row r="11" spans="1:2" s="25" customFormat="1" ht="25.8" x14ac:dyDescent="0.5">
      <c r="A11" s="26" t="s">
        <v>25</v>
      </c>
    </row>
    <row r="12" spans="1:2" ht="28.8" x14ac:dyDescent="0.3">
      <c r="A12" s="27" t="s">
        <v>26</v>
      </c>
    </row>
    <row r="13" spans="1:2" s="22" customFormat="1" ht="27.9" customHeight="1" x14ac:dyDescent="0.3">
      <c r="A13" s="30" t="s">
        <v>27</v>
      </c>
    </row>
    <row r="14" spans="1:2" s="25" customFormat="1" ht="25.8" x14ac:dyDescent="0.5">
      <c r="A14" s="26" t="s">
        <v>28</v>
      </c>
    </row>
    <row r="15" spans="1:2" ht="75" customHeight="1" x14ac:dyDescent="0.3">
      <c r="A15" s="27" t="s">
        <v>29</v>
      </c>
    </row>
    <row r="16" spans="1:2" ht="72" x14ac:dyDescent="0.3">
      <c r="A16" s="27" t="s">
        <v>30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2026-03-15T13:17:35Z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